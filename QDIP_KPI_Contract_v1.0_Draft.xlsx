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cd81d22314f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a4c22f48da945fc"/>
    <x:sheet xmlns:r="http://schemas.openxmlformats.org/officeDocument/2006/relationships" name="KPI Definitions" sheetId="2" r:id="R82f3ef3802bb49ef"/>
    <x:sheet xmlns:r="http://schemas.openxmlformats.org/officeDocument/2006/relationships" name="Status Rules" sheetId="3" r:id="R35595530d64b41bb"/>
    <x:sheet xmlns:r="http://schemas.openxmlformats.org/officeDocument/2006/relationships" name="Reporting Rules" sheetId="4" r:id="R91dd1c69c0804330"/>
    <x:sheet xmlns:r="http://schemas.openxmlformats.org/officeDocument/2006/relationships" name="Change Log" sheetId="5" r:id="R08672c853b12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2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Carlito"/>
    </x:font>
    <x:font>
      <x:i/>
      <x:sz val="11"/>
      <x:color rgb="FF1F1F1F"/>
      <x:name val="Carlito"/>
    </x:font>
    <x:font>
      <x:i/>
      <x:sz val="11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C6E0B4"/>
      </x:patternFill>
    </x:fill>
    <x:fill>
      <x:patternFill patternType="solid">
        <x:fgColor rgb="FFF4CCCC"/>
      </x:patternFill>
    </x:fill>
    <x:fill>
      <x:patternFill patternType="solid">
        <x:fgColor rgb="FFFFE699"/>
      </x:patternFill>
    </x:fill>
    <x:fill>
      <x:patternFill patternType="solid">
        <x:fgColor rgb="FFD9E1F2"/>
      </x:patternFill>
    </x:fill>
  </x:fills>
  <x:borders count="24">
    <x:border/>
    <x:border/>
    <x:border>
      <x:left style="thin">
        <x:color rgb="FFB4C7E7"/>
      </x:left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top style="thin">
        <x:color rgb="FFB4C7E7"/>
      </x:top>
    </x:border>
    <x:border>
      <x:bottom style="thin">
        <x:color rgb="FFB4C7E7"/>
      </x:bottom>
    </x:border>
    <x:border>
      <x:top style="thin">
        <x:color rgb="FFB4C7E7"/>
      </x:top>
    </x:border>
    <x:border>
      <x:bottom style="thin">
        <x:color rgb="FFB4C7E7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0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top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top"/>
    </x:xf>
    <x:xf numFmtId="0" fontId="3" fillId="4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/>
    <x:xf numFmtId="0" fontId="3" fillId="4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/>
    <x:xf numFmtId="0" fontId="3" fillId="4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vertical="top"/>
    </x:xf>
    <x:xf numFmtId="0" fontId="0" fillId="0" borderId="11" xfId="0" applyNumberFormat="1" applyFont="1" applyFill="1" applyBorder="1"/>
    <x:xf numFmtId="0" fontId="3" fillId="4" borderId="12" xfId="0" applyNumberFormat="1" applyFont="1" applyFill="1" applyBorder="1" applyAlignment="1">
      <x:alignment vertical="top"/>
    </x:xf>
    <x:xf numFmtId="0" fontId="0" fillId="0" borderId="13" xfId="0" applyNumberFormat="1" applyFont="1" applyFill="1" applyBorder="1"/>
    <x:xf numFmtId="0" fontId="3" fillId="4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6" xfId="0" applyNumberFormat="1" applyFont="1" applyFill="1" applyBorder="1"/>
    <x:xf numFmtId="0" fontId="0" fillId="0" borderId="8" xfId="0" applyNumberFormat="1" applyFont="1" applyFill="1" applyBorder="1"/>
    <x:xf numFmtId="0" fontId="0" fillId="0" borderId="1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4" borderId="14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vertical="top" wrapText="1"/>
    </x:xf>
    <x:xf numFmtId="0" fontId="0" fillId="4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4" borderId="15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vertical="top" wrapText="1"/>
    </x:xf>
    <x:xf numFmtId="0" fontId="0" fillId="4" borderId="17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18" xfId="0" applyNumberFormat="1" applyFont="1" applyFill="1" applyBorder="1"/>
    <x:xf numFmtId="0" fontId="4" fillId="2" borderId="19" xfId="0" applyNumberFormat="1" applyFont="1" applyFill="1" applyBorder="1"/>
    <x:xf numFmtId="0" fontId="4" fillId="2" borderId="20" xfId="0" applyNumberFormat="1" applyFont="1" applyFill="1" applyBorder="1"/>
    <x:xf numFmtId="0" fontId="4" fillId="2" borderId="18" xfId="0" applyNumberFormat="1" applyFont="1" applyFill="1" applyBorder="1" applyAlignment="1">
      <x:alignment wrapText="1"/>
    </x:xf>
    <x:xf numFmtId="0" fontId="4" fillId="2" borderId="19" xfId="0" applyNumberFormat="1" applyFont="1" applyFill="1" applyBorder="1" applyAlignment="1">
      <x:alignment wrapText="1"/>
    </x:xf>
    <x:xf numFmtId="0" fontId="4" fillId="2" borderId="20" xfId="0" applyNumberFormat="1" applyFont="1" applyFill="1" applyBorder="1" applyAlignment="1">
      <x:alignment wrapText="1"/>
    </x:xf>
    <x:xf numFmtId="0" fontId="4" fillId="2" borderId="18" xfId="0" applyNumberFormat="1" applyFont="1" applyFill="1" applyBorder="1" applyAlignment="1">
      <x:alignment horizontal="center" wrapText="1"/>
    </x:xf>
    <x:xf numFmtId="0" fontId="4" fillId="2" borderId="19" xfId="0" applyNumberFormat="1" applyFont="1" applyFill="1" applyBorder="1" applyAlignment="1">
      <x:alignment horizontal="center" wrapText="1"/>
    </x:xf>
    <x:xf numFmtId="0" fontId="4" fillId="2" borderId="20" xfId="0" applyNumberFormat="1" applyFont="1" applyFill="1" applyBorder="1" applyAlignment="1">
      <x:alignment horizontal="center" wrapText="1"/>
    </x:xf>
    <x:xf numFmtId="0" fontId="4" fillId="2" borderId="18" xfId="0" applyNumberFormat="1" applyFont="1" applyFill="1" applyBorder="1" applyAlignment="1">
      <x:alignment horizontal="center" vertical="center" wrapText="1"/>
    </x:xf>
    <x:xf numFmtId="0" fontId="4" fillId="2" borderId="19" xfId="0" applyNumberFormat="1" applyFont="1" applyFill="1" applyBorder="1" applyAlignment="1">
      <x:alignment horizontal="center" vertical="center" wrapText="1"/>
    </x:xf>
    <x:xf numFmtId="0" fontId="4" fillId="2" borderId="2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/>
    <x:xf numFmtId="0" fontId="4" fillId="2" borderId="21" xfId="0" applyNumberFormat="1" applyFont="1" applyFill="1" applyBorder="1"/>
    <x:xf numFmtId="0" fontId="4" fillId="2" borderId="22" xfId="0" applyNumberFormat="1" applyFont="1" applyFill="1" applyBorder="1"/>
    <x:xf numFmtId="0" fontId="4" fillId="2" borderId="23" xfId="0" applyNumberFormat="1" applyFont="1" applyFill="1" applyBorder="1"/>
    <x:xf numFmtId="0" fontId="4" fillId="2" borderId="21" xfId="0" applyNumberFormat="1" applyFont="1" applyFill="1" applyBorder="1" applyAlignment="1">
      <x:alignment wrapText="1"/>
    </x:xf>
    <x:xf numFmtId="0" fontId="4" fillId="2" borderId="22" xfId="0" applyNumberFormat="1" applyFont="1" applyFill="1" applyBorder="1" applyAlignment="1">
      <x:alignment wrapText="1"/>
    </x:xf>
    <x:xf numFmtId="0" fontId="4" fillId="2" borderId="23" xfId="0" applyNumberFormat="1" applyFont="1" applyFill="1" applyBorder="1" applyAlignment="1">
      <x:alignment wrapText="1"/>
    </x:xf>
    <x:xf numFmtId="0" fontId="4" fillId="2" borderId="21" xfId="0" applyNumberFormat="1" applyFont="1" applyFill="1" applyBorder="1" applyAlignment="1">
      <x:alignment horizontal="center" wrapText="1"/>
    </x:xf>
    <x:xf numFmtId="0" fontId="4" fillId="2" borderId="22" xfId="0" applyNumberFormat="1" applyFont="1" applyFill="1" applyBorder="1" applyAlignment="1">
      <x:alignment horizontal="center" wrapText="1"/>
    </x:xf>
    <x:xf numFmtId="0" fontId="4" fillId="2" borderId="23" xfId="0" applyNumberFormat="1" applyFont="1" applyFill="1" applyBorder="1" applyAlignment="1">
      <x:alignment horizontal="center" wrapText="1"/>
    </x:xf>
    <x:xf numFmtId="0" fontId="4" fillId="2" borderId="21" xfId="0" applyNumberFormat="1" applyFont="1" applyFill="1" applyBorder="1" applyAlignment="1">
      <x:alignment horizontal="center" vertical="center" wrapText="1"/>
    </x:xf>
    <x:xf numFmtId="0" fontId="4" fillId="2" borderId="22" xfId="0" applyNumberFormat="1" applyFont="1" applyFill="1" applyBorder="1" applyAlignment="1">
      <x:alignment horizontal="center" vertical="center" wrapText="1"/>
    </x:xf>
    <x:xf numFmtId="0" fontId="4" fillId="2" borderId="2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10" xfId="0" applyNumberFormat="1" applyFont="1" applyFill="1" applyBorder="1"/>
    <x:xf numFmtId="0" fontId="0" fillId="4" borderId="2" xfId="0" applyNumberFormat="1" applyFont="1" applyFill="1" applyBorder="1"/>
    <x:xf numFmtId="0" fontId="0" fillId="4" borderId="4" xfId="0" applyNumberFormat="1" applyFont="1" applyFill="1" applyBorder="1"/>
    <x:xf numFmtId="0" fontId="0" fillId="4" borderId="6" xfId="0" applyNumberFormat="1" applyFont="1" applyFill="1" applyBorder="1"/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3" fillId="4" borderId="6" xfId="0" applyNumberFormat="1" applyFont="1" applyFill="1" applyBorder="1"/>
    <x:xf numFmtId="0" fontId="0" fillId="4" borderId="8" xfId="0" applyNumberFormat="1" applyFont="1" applyFill="1" applyBorder="1"/>
    <x:xf numFmtId="0" fontId="0" fillId="4" borderId="10" xfId="0" applyNumberFormat="1" applyFont="1" applyFill="1" applyBorder="1"/>
    <x:xf numFmtId="0" fontId="0" fillId="4" borderId="12" xfId="0" applyNumberFormat="1" applyFont="1" applyFill="1" applyBorder="1"/>
    <x:xf numFmtId="0" fontId="3" fillId="4" borderId="8" xfId="0" applyNumberFormat="1" applyFont="1" applyFill="1" applyBorder="1"/>
    <x:xf numFmtId="0" fontId="3" fillId="4" borderId="10" xfId="0" applyNumberFormat="1" applyFont="1" applyFill="1" applyBorder="1"/>
    <x:xf numFmtId="0" fontId="3" fillId="4" borderId="1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0" fillId="6" borderId="8" xfId="0" applyNumberFormat="1" applyFont="1" applyFill="1" applyBorder="1" applyAlignment="1">
      <x:alignment vertical="top" wrapText="1"/>
    </x:xf>
    <x:xf numFmtId="0" fontId="0" fillId="6" borderId="16" xfId="0" applyNumberFormat="1" applyFont="1" applyFill="1" applyBorder="1" applyAlignment="1">
      <x:alignment vertical="top" wrapText="1"/>
    </x:xf>
    <x:xf numFmtId="0" fontId="7" fillId="6" borderId="2" xfId="0" applyNumberFormat="1" applyFont="1" applyFill="1" applyBorder="1" applyAlignment="1">
      <x:alignment vertical="top" wrapText="1"/>
    </x:xf>
    <x:xf numFmtId="0" fontId="7" fillId="6" borderId="14" xfId="0" applyNumberFormat="1" applyFont="1" applyFill="1" applyBorder="1" applyAlignment="1">
      <x:alignment vertical="top" wrapText="1"/>
    </x:xf>
    <x:xf numFmtId="0" fontId="7" fillId="6" borderId="8" xfId="0" applyNumberFormat="1" applyFont="1" applyFill="1" applyBorder="1" applyAlignment="1">
      <x:alignment vertical="top" wrapText="1"/>
    </x:xf>
    <x:xf numFmtId="0" fontId="7" fillId="6" borderId="16" xfId="0" applyNumberFormat="1" applyFont="1" applyFill="1" applyBorder="1" applyAlignment="1">
      <x:alignment vertical="top" wrapText="1"/>
    </x:xf>
    <x:xf numFmtId="0" fontId="0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vertical="top" wrapText="1"/>
    </x:xf>
    <x:xf numFmtId="0" fontId="7" fillId="7" borderId="4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7" fillId="7" borderId="1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0" fillId="8" borderId="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8" borderId="1" xfId="0" applyNumberFormat="1" applyFont="1" applyFill="1" applyBorder="1" applyAlignment="1">
      <x:alignment vertical="top" wrapText="1"/>
    </x:xf>
    <x:xf numFmtId="0" fontId="7" fillId="8" borderId="4" xfId="0" applyNumberFormat="1" applyFont="1" applyFill="1" applyBorder="1" applyAlignment="1">
      <x:alignment vertical="top" wrapText="1"/>
    </x:xf>
    <x:xf numFmtId="0" fontId="7" fillId="8" borderId="0" xfId="0" applyNumberFormat="1" applyFont="1" applyFill="1" applyBorder="1" applyAlignment="1">
      <x:alignment vertical="top" wrapText="1"/>
    </x:xf>
    <x:xf numFmtId="0" fontId="7" fillId="8" borderId="10" xfId="0" applyNumberFormat="1" applyFont="1" applyFill="1" applyBorder="1" applyAlignment="1">
      <x:alignment vertical="top" wrapText="1"/>
    </x:xf>
    <x:xf numFmtId="0" fontId="7" fillId="8" borderId="1" xfId="0" applyNumberFormat="1" applyFont="1" applyFill="1" applyBorder="1" applyAlignment="1">
      <x:alignment vertical="top" wrapText="1"/>
    </x:xf>
    <x:xf numFmtId="0" fontId="0" fillId="9" borderId="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 applyAlignment="1">
      <x:alignment vertical="top" wrapText="1"/>
    </x:xf>
    <x:xf numFmtId="0" fontId="7" fillId="9" borderId="4" xfId="0" applyNumberFormat="1" applyFont="1" applyFill="1" applyBorder="1" applyAlignment="1">
      <x:alignment vertical="top" wrapText="1"/>
    </x:xf>
    <x:xf numFmtId="0" fontId="7" fillId="9" borderId="0" xfId="0" applyNumberFormat="1" applyFont="1" applyFill="1" applyBorder="1" applyAlignment="1">
      <x:alignment vertical="top" wrapText="1"/>
    </x:xf>
    <x:xf numFmtId="0" fontId="7" fillId="9" borderId="10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15" xfId="0" applyNumberFormat="1" applyFont="1" applyFill="1" applyBorder="1" applyAlignment="1">
      <x:alignment vertical="top" wrapText="1"/>
    </x:xf>
    <x:xf numFmtId="0" fontId="0" fillId="4" borderId="12" xfId="0" applyNumberFormat="1" applyFont="1" applyFill="1" applyBorder="1" applyAlignment="1">
      <x:alignment vertical="top" wrapText="1"/>
    </x:xf>
    <x:xf numFmtId="0" fontId="0" fillId="4" borderId="17" xfId="0" applyNumberFormat="1" applyFont="1" applyFill="1" applyBorder="1" applyAlignment="1">
      <x:alignment vertical="top" wrapText="1"/>
    </x:xf>
    <x:xf numFmtId="0" fontId="7" fillId="4" borderId="6" xfId="0" applyNumberFormat="1" applyFont="1" applyFill="1" applyBorder="1" applyAlignment="1">
      <x:alignment vertical="top" wrapText="1"/>
    </x:xf>
    <x:xf numFmtId="0" fontId="7" fillId="4" borderId="15" xfId="0" applyNumberFormat="1" applyFont="1" applyFill="1" applyBorder="1" applyAlignment="1">
      <x:alignment vertical="top" wrapText="1"/>
    </x:xf>
    <x:xf numFmtId="0" fontId="7" fillId="4" borderId="12" xfId="0" applyNumberFormat="1" applyFont="1" applyFill="1" applyBorder="1" applyAlignment="1">
      <x:alignment vertical="top" wrapText="1"/>
    </x:xf>
    <x:xf numFmtId="0" fontId="7" fillId="4" borderId="17" xfId="0" applyNumberFormat="1" applyFont="1" applyFill="1" applyBorder="1" applyAlignment="1">
      <x:alignment vertical="top"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18"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ont>
        <x:b/>
      </x:font>
      <x:fill>
        <x:patternFill patternType="solid">
          <x:bgColor rgb="FFD9E1F2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D9E1F2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FE699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C6E0B4"/>
        </x:patternFill>
      </x:fill>
    </x:dxf>
    <x:dxf>
      <x:fill>
        <x:patternFill patternType="solid">
          <x:bgColor rgb="FFD9E1F2"/>
        </x:patternFill>
      </x:fill>
    </x:dxf>
    <x:dxf>
      <x:fill>
        <x:patternFill patternType="solid">
          <x:bgColor rgb="FFFFE6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d9039458f5487b" /><Relationship Type="http://schemas.openxmlformats.org/officeDocument/2006/relationships/theme" Target="/xl/theme/theme1.xml" Id="Rcf3b2aecdf034b7a" /><Relationship Type="http://schemas.openxmlformats.org/officeDocument/2006/relationships/sharedStrings" Target="/xl/sharedStrings.xml" Id="Rc9278a2b94704e84" /><Relationship Type="http://schemas.openxmlformats.org/officeDocument/2006/relationships/worksheet" Target="/xl/worksheets/sheet1.xml" Id="R3a4c22f48da945fc" /><Relationship Type="http://schemas.openxmlformats.org/officeDocument/2006/relationships/worksheet" Target="/xl/worksheets/sheet2.xml" Id="R82f3ef3802bb49ef" /><Relationship Type="http://schemas.openxmlformats.org/officeDocument/2006/relationships/worksheet" Target="/xl/worksheets/sheet3.xml" Id="R35595530d64b41bb" /><Relationship Type="http://schemas.openxmlformats.org/officeDocument/2006/relationships/worksheet" Target="/xl/worksheets/sheet4.xml" Id="R91dd1c69c0804330" /><Relationship Type="http://schemas.openxmlformats.org/officeDocument/2006/relationships/worksheet" Target="/xl/worksheets/sheet5.xml" Id="R08672c853b1244cc" /></Relationships>
</file>

<file path=xl/tables/table1.xml><?xml version="1.0" encoding="utf-8"?>
<x:table xmlns:x="http://schemas.openxmlformats.org/spreadsheetml/2006/main" id="1" name="KPIDefinitionsTable" displayName="KPIDefinitionsTable" ref="A5:S12" headerRowCount="1">
  <x:tableColumns count="19">
    <x:tableColumn id="1" name="MetricID"/>
    <x:tableColumn id="2" name="Area"/>
    <x:tableColumn id="3" name="MetricName"/>
    <x:tableColumn id="4" name="MetricType"/>
    <x:tableColumn id="5" name="ValueType"/>
    <x:tableColumn id="6" name="Definition"/>
    <x:tableColumn id="7" name="DailyTarget"/>
    <x:tableColumn id="8" name="MonthlyTarget"/>
    <x:tableColumn id="9" name="Source"/>
    <x:tableColumn id="10" name="ReportingFrequency"/>
    <x:tableColumn id="11" name="ReportingRuleID"/>
    <x:tableColumn id="12" name="DateAssignmentRule"/>
    <x:tableColumn id="13" name="BlankHandling"/>
    <x:tableColumn id="14" name="EffectiveFrom"/>
    <x:tableColumn id="15" name="BusinessOwner"/>
    <x:tableColumn id="16" name="DataOwner"/>
    <x:tableColumn id="17" name="ReviewStatus"/>
    <x:tableColumn id="18" name="ReviewerComment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tatusRulesTable" displayName="StatusRulesTable" ref="A5:H10" headerRowCount="1">
  <x:tableColumns count="8">
    <x:tableColumn id="1" name="StatusCode"/>
    <x:tableColumn id="2" name="StatusName"/>
    <x:tableColumn id="3" name="DisplayColor"/>
    <x:tableColumn id="4" name="Definition"/>
    <x:tableColumn id="5" name="AppliesWhen"/>
    <x:tableColumn id="6" name="Example"/>
    <x:tableColumn id="7" name="ReviewStatus"/>
    <x:tableColumn id="8" name="ReviewerComment"/>
  </x:tableColumns>
  <x:tableStyleInfo name="TableStyleMedium2" showRowStripes="1"/>
</x:table>
</file>

<file path=xl/tables/table3.xml><?xml version="1.0" encoding="utf-8"?>
<x:table xmlns:x="http://schemas.openxmlformats.org/spreadsheetml/2006/main" id="3" name="ReportingRulesTable" displayName="ReportingRulesTable" ref="A5:H10" headerRowCount="1">
  <x:tableColumns count="8">
    <x:tableColumn id="1" name="RuleID"/>
    <x:tableColumn id="2" name="RuleName"/>
    <x:tableColumn id="3" name="Definition"/>
    <x:tableColumn id="4" name="Trigger / Day Logic"/>
    <x:tableColumn id="5" name="AppliesToMetricIDs"/>
    <x:tableColumn id="6" name="SystemBehavior"/>
    <x:tableColumn id="7" name="ReviewStatus"/>
    <x:tableColumn id="8" name="ReviewerComment"/>
  </x:tableColumns>
  <x:tableStyleInfo name="TableStyleMedium2" showRowStripes="1"/>
</x:table>
</file>

<file path=xl/tables/table4.xml><?xml version="1.0" encoding="utf-8"?>
<x:table xmlns:x="http://schemas.openxmlformats.org/spreadsheetml/2006/main" id="4" name="ChangeLogTable" displayName="ChangeLogTable" ref="A5:H25" headerRowCount="1">
  <x:tableColumns count="8">
    <x:tableColumn id="1" name="Version"/>
    <x:tableColumn id="2" name="Date"/>
    <x:tableColumn id="3" name="ChangedBy"/>
    <x:tableColumn id="4" name="ApprovedBy"/>
    <x:tableColumn id="5" name="ChangeType"/>
    <x:tableColumn id="6" name="Description"/>
    <x:tableColumn id="7" name="EffectiveFrom"/>
    <x:tableColumn id="8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d9fa22b49547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c35ea1165a4a4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b67fa38bb34e8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52d493d0dfb4a61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2" hidden="0" customWidth="1"/>
    <x:col min="3" max="3" width="18" hidden="0" customWidth="1"/>
    <x:col min="4" max="4" width="20" hidden="0" customWidth="1"/>
    <x:col min="5" max="5" width="18" hidden="0" customWidth="1"/>
    <x:col min="6" max="6" width="14" hidden="0" customWidth="1"/>
    <x:col min="7" max="7" width="20" hidden="0" customWidth="1"/>
    <x:col min="8" max="8" width="22" hidden="0" customWidth="1"/>
  </x:cols>
  <x:sheetData>
    <x:row r="1" ht="28" customHeight="1">
      <x:c r="A1" s="5" t="str">
        <x:v>QDIP KPI Contract v1.0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4">
      <x:c r="A4" s="13" t="str">
        <x:v>Document control</x:v>
      </x:c>
      <x:c r="B4" s="13"/>
      <x:c r="D4" s="13" t="str">
        <x:v>Review &amp; approval</x:v>
      </x:c>
      <x:c r="E4" s="13"/>
      <x:c r="F4" s="13"/>
      <x:c r="G4" s="13"/>
      <x:c r="H4" s="13"/>
    </x:row>
    <x:row r="5">
      <x:c r="A5" s="36" t="str">
        <x:v>Title</x:v>
      </x:c>
      <x:c r="B5" s="37" t="str">
        <x:v>QDIP KPI Contract</x:v>
      </x:c>
      <x:c r="D5" s="36" t="str">
        <x:v>Reviewer</x:v>
      </x:c>
      <x:c r="E5" s="55" t="str"/>
      <x:c r="F5" s="55" t="str"/>
      <x:c r="G5" s="55" t="str"/>
      <x:c r="H5" s="37" t="str"/>
    </x:row>
    <x:row r="6">
      <x:c r="A6" s="38" t="str">
        <x:v>Version</x:v>
      </x:c>
      <x:c r="B6" s="39" t="str">
        <x:v>v1.0</x:v>
      </x:c>
      <x:c r="D6" s="38" t="str">
        <x:v>Decision</x:v>
      </x:c>
      <x:c r="E6" s="56" t="str">
        <x:v>Draft</x:v>
      </x:c>
      <x:c r="F6" s="56" t="str"/>
      <x:c r="G6" s="56" t="str"/>
      <x:c r="H6" s="39" t="str"/>
    </x:row>
    <x:row r="7">
      <x:c r="A7" s="38" t="str">
        <x:v>Status</x:v>
      </x:c>
      <x:c r="B7" s="39" t="str">
        <x:v>Draft for review</x:v>
      </x:c>
      <x:c r="D7" s="38" t="str">
        <x:v>Review date</x:v>
      </x:c>
      <x:c r="E7" s="61"/>
      <x:c r="F7" s="56" t="str"/>
      <x:c r="G7" s="56" t="str"/>
      <x:c r="H7" s="39" t="str"/>
    </x:row>
    <x:row r="8">
      <x:c r="A8" s="38" t="str">
        <x:v>Prepared date</x:v>
      </x:c>
      <x:c r="B8" s="48" t="n">
        <x:v>46225</x:v>
      </x:c>
      <x:c r="D8" s="40" t="str">
        <x:v>Comments</x:v>
      </x:c>
      <x:c r="E8" s="57" t="str"/>
      <x:c r="F8" s="57" t="str"/>
      <x:c r="G8" s="57" t="str"/>
      <x:c r="H8" s="41" t="str"/>
    </x:row>
    <x:row r="9">
      <x:c r="A9" s="38" t="str">
        <x:v>Purpose</x:v>
      </x:c>
      <x:c r="B9" s="39" t="str">
        <x:v>Fastställa gemensamma KPI-definitioner, statusregler och rapporteringslogik före utveckling av QDIP 2.0.</x:v>
      </x:c>
    </x:row>
    <x:row r="10">
      <x:c r="A10" s="40" t="str">
        <x:v>Source basis</x:v>
      </x:c>
      <x:c r="B10" s="41" t="str">
        <x:v>Djupgranskning av QDIP-projektet.pdf samt verksamhetsförtydliganden godkända i dialog 2026-07-22.</x:v>
      </x:c>
    </x:row>
    <x:row r="12">
      <x:c r="A12" s="13" t="str">
        <x:v>Contract summary</x:v>
      </x:c>
      <x:c r="B12" s="13"/>
      <x:c r="C12" s="13"/>
      <x:c r="D12" s="13"/>
      <x:c r="E12" s="13"/>
      <x:c r="F12" s="13"/>
      <x:c r="G12" s="13"/>
      <x:c r="H12" s="13"/>
    </x:row>
    <x:row r="13">
      <x:c r="A13" s="36" t="str">
        <x:v>Metric definitions in scope</x:v>
      </x:c>
      <x:c r="B13" s="55" t="n">
        <x:f>COUNTA('KPI Definitions'!A6:A12)</x:f>
        <x:v>7</x:v>
      </x:c>
      <x:c r="C13" s="77" t="str">
        <x:v>Areas</x:v>
      </x:c>
      <x:c r="D13" s="55" t="n">
        <x:v>3</x:v>
      </x:c>
      <x:c r="E13" s="77" t="str">
        <x:v>Current version</x:v>
      </x:c>
      <x:c r="F13" s="55" t="str">
        <x:v>v1.0</x:v>
      </x:c>
      <x:c r="G13" s="77" t="str">
        <x:v>Target next step</x:v>
      </x:c>
      <x:c r="H13" s="37" t="str">
        <x:v>Omgång 2</x:v>
      </x:c>
    </x:row>
    <x:row r="14">
      <x:c r="A14" s="40" t="str">
        <x:v>Approved metric definitions</x:v>
      </x:c>
      <x:c r="B14" s="57" t="n">
        <x:f>COUNTIF('KPI Definitions'!Q6:Q12,"Approved")</x:f>
        <x:v>0</x:v>
      </x:c>
      <x:c r="C14" s="87" t="str">
        <x:v>Status rules</x:v>
      </x:c>
      <x:c r="D14" s="57" t="n">
        <x:v>5</x:v>
      </x:c>
      <x:c r="E14" s="87" t="str">
        <x:v>Reporting rules</x:v>
      </x:c>
      <x:c r="F14" s="57" t="n">
        <x:v>5</x:v>
      </x:c>
      <x:c r="G14" s="87" t="str">
        <x:v>Overall decision</x:v>
      </x:c>
      <x:c r="H14" s="41" t="str">
        <x:f>E6</x:f>
        <x:v>Draft</x:v>
      </x:c>
    </x:row>
    <x:row r="16">
      <x:c r="A16" s="13" t="str">
        <x:v>Approval gates before Omgång 2</x:v>
      </x:c>
      <x:c r="B16" s="13"/>
      <x:c r="C16" s="13"/>
      <x:c r="D16" s="13"/>
      <x:c r="E16" s="13"/>
      <x:c r="F16" s="13"/>
      <x:c r="G16" s="13"/>
      <x:c r="H16" s="13"/>
    </x:row>
    <x:row r="17">
      <x:c r="A17" s="101" t="str">
        <x:v>Gate</x:v>
      </x:c>
      <x:c r="B17" s="102" t="str">
        <x:v>Decision</x:v>
      </x:c>
      <x:c r="C17" s="102" t="str">
        <x:v>Reviewer comment</x:v>
      </x:c>
      <x:c r="D17" s="102" t="str"/>
      <x:c r="E17" s="102" t="str"/>
      <x:c r="F17" s="102" t="str"/>
      <x:c r="G17" s="102" t="str"/>
      <x:c r="H17" s="103" t="str"/>
    </x:row>
    <x:row r="18" ht="34" customHeight="1">
      <x:c r="A18" s="36" t="str">
        <x:v>KPI Definitions approved</x:v>
      </x:c>
      <x:c r="B18" s="50" t="str">
        <x:v>Draft</x:v>
      </x:c>
      <x:c r="C18" s="50" t="str"/>
      <x:c r="D18" s="50" t="str"/>
      <x:c r="E18" s="50" t="str"/>
      <x:c r="F18" s="50" t="str"/>
      <x:c r="G18" s="50" t="str"/>
      <x:c r="H18" s="25" t="str"/>
    </x:row>
    <x:row r="19" ht="34" customHeight="1">
      <x:c r="A19" s="38" t="str">
        <x:v>Status Rules approved</x:v>
      </x:c>
      <x:c r="B19" s="51" t="str">
        <x:v>Draft</x:v>
      </x:c>
      <x:c r="C19" s="51" t="str"/>
      <x:c r="D19" s="51" t="str"/>
      <x:c r="E19" s="51" t="str"/>
      <x:c r="F19" s="51" t="str"/>
      <x:c r="G19" s="51" t="str"/>
      <x:c r="H19" s="27" t="str"/>
    </x:row>
    <x:row r="20" ht="34" customHeight="1">
      <x:c r="A20" s="38" t="str">
        <x:v>Reporting Rules approved</x:v>
      </x:c>
      <x:c r="B20" s="51" t="str">
        <x:v>Draft</x:v>
      </x:c>
      <x:c r="C20" s="51" t="str"/>
      <x:c r="D20" s="51" t="str"/>
      <x:c r="E20" s="51" t="str"/>
      <x:c r="F20" s="51" t="str"/>
      <x:c r="G20" s="51" t="str"/>
      <x:c r="H20" s="27" t="str"/>
    </x:row>
    <x:row r="21" ht="34" customHeight="1">
      <x:c r="A21" s="40" t="str">
        <x:v>Business/Data owner assignments accepted</x:v>
      </x:c>
      <x:c r="B21" s="52" t="str">
        <x:v>Draft</x:v>
      </x:c>
      <x:c r="C21" s="52" t="str"/>
      <x:c r="D21" s="52" t="str"/>
      <x:c r="E21" s="52" t="str"/>
      <x:c r="F21" s="52" t="str"/>
      <x:c r="G21" s="52" t="str"/>
      <x:c r="H21" s="29" t="str"/>
    </x:row>
    <x:row r="23">
      <x:c r="A23" s="13" t="str">
        <x:v>How to review</x:v>
      </x:c>
      <x:c r="B23" s="13"/>
      <x:c r="C23" s="13"/>
      <x:c r="D23" s="13"/>
      <x:c r="E23" s="13"/>
      <x:c r="F23" s="13"/>
      <x:c r="G23" s="13"/>
      <x:c r="H23" s="13"/>
    </x:row>
    <x:row r="24" ht="34" customHeight="1">
      <x:c r="A24" s="36" t="str">
        <x:v>1</x:v>
      </x:c>
      <x:c r="B24" s="37" t="str">
        <x:v>Granska varje rad i KPI Definitions och välj ReviewStatus.</x:v>
      </x:c>
    </x:row>
    <x:row r="25" ht="34" customHeight="1">
      <x:c r="A25" s="38" t="str">
        <x:v>2</x:v>
      </x:c>
      <x:c r="B25" s="39" t="str">
        <x:v>Kontrollera Status Rules och Reporting Rules.</x:v>
      </x:c>
    </x:row>
    <x:row r="26" ht="34" customHeight="1">
      <x:c r="A26" s="38" t="str">
        <x:v>3</x:v>
      </x:c>
      <x:c r="B26" s="39" t="str">
        <x:v>Skriv kommentarer direkt i respektive ReviewerComment-kolumn.</x:v>
      </x:c>
    </x:row>
    <x:row r="27" ht="34" customHeight="1">
      <x:c r="A27" s="40" t="str">
        <x:v>4</x:v>
      </x:c>
      <x:c r="B27" s="41" t="str">
        <x:v>Sätt övergripande Decision till Approved när kontraktet kan användas för Omgång 2.</x:v>
      </x:c>
    </x:row>
  </x:sheetData>
  <x:mergeCells>
    <x:mergeCell ref="A1:H2"/>
    <x:mergeCell ref="A4:B4"/>
    <x:mergeCell ref="D4:H4"/>
    <x:mergeCell ref="E5:H5"/>
    <x:mergeCell ref="E6:H6"/>
    <x:mergeCell ref="E7:H7"/>
    <x:mergeCell ref="E8:H10"/>
    <x:mergeCell ref="A12:H12"/>
    <x:mergeCell ref="A16:H16"/>
    <x:mergeCell ref="C18:H18"/>
    <x:mergeCell ref="C19:H19"/>
    <x:mergeCell ref="C20:H20"/>
    <x:mergeCell ref="C21:H21"/>
    <x:mergeCell ref="A23:H23"/>
  </x:mergeCells>
  <x:conditionalFormatting sqref="E6:E6">
    <x:cfRule type="expression" dxfId="0" priority="1">
      <x:formula>E6="Approved"</x:formula>
    </x:cfRule>
    <x:cfRule type="expression" dxfId="1" priority="2">
      <x:formula>E6="Changes required"</x:formula>
    </x:cfRule>
    <x:cfRule type="expression" dxfId="2" priority="3">
      <x:formula>E6="Draft"</x:formula>
    </x:cfRule>
  </x:conditionalFormatting>
  <x:conditionalFormatting sqref="B18:B21">
    <x:cfRule type="expression" dxfId="3" priority="4">
      <x:formula>B18="Approved"</x:formula>
    </x:cfRule>
    <x:cfRule type="expression" dxfId="4" priority="5">
      <x:formula>B18="Changes required"</x:formula>
    </x:cfRule>
    <x:cfRule type="expression" dxfId="5" priority="6">
      <x:formula>B18="Draft"</x:formula>
    </x:cfRule>
  </x:conditionalFormatting>
  <x:dataValidations count="2">
    <x:dataValidation type="list" sqref="E6">
      <x:formula1>"Draft,Approved,Changes required"</x:formula1>
    </x:dataValidation>
    <x:dataValidation type="list" sqref="B18:B21">
      <x:formula1>"Draft,Approved,Changes required"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" hidden="0" customWidth="1"/>
    <x:col min="3" max="3" width="20" hidden="0" customWidth="1"/>
    <x:col min="4" max="4" width="12" hidden="0" customWidth="1"/>
    <x:col min="5" max="5" width="19" hidden="0" customWidth="1"/>
    <x:col min="6" max="6" width="42" hidden="0" customWidth="1"/>
    <x:col min="7" max="7" width="18" hidden="0" customWidth="1"/>
    <x:col min="8" max="8" width="24" hidden="0" customWidth="1"/>
    <x:col min="9" max="9" width="34" hidden="0" customWidth="1"/>
    <x:col min="10" max="10" width="30" hidden="0" customWidth="1"/>
    <x:col min="11" max="11" width="32" hidden="0" customWidth="1"/>
    <x:col min="12" max="12" width="38" hidden="0" customWidth="1"/>
    <x:col min="13" max="13" width="38" hidden="0" customWidth="1"/>
    <x:col min="14" max="14" width="22" hidden="0" customWidth="1"/>
    <x:col min="15" max="15" width="20" hidden="0" customWidth="1"/>
    <x:col min="16" max="16" width="20" hidden="0" customWidth="1"/>
    <x:col min="17" max="17" width="18" hidden="0" customWidth="1"/>
    <x:col min="18" max="18" width="36" hidden="0" customWidth="1"/>
    <x:col min="19" max="19" width="46" hidden="0" customWidth="1"/>
  </x:cols>
  <x:sheetData>
    <x:row r="1">
      <x:c r="A1" s="5" t="str">
        <x:v>QDIP KPI Definitions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</x:row>
    <x:row r="3">
      <x:c r="A3" s="133" t="str">
        <x:v>Review each metric definition. Change only business decisions; technical implementation follows in Omgång 2.</x:v>
      </x:c>
      <x:c r="B3" s="133"/>
      <x:c r="C3" s="133"/>
      <x:c r="D3" s="133"/>
      <x:c r="E3" s="133"/>
      <x:c r="F3" s="133"/>
      <x:c r="G3" s="133"/>
      <x:c r="H3" s="133"/>
      <x:c r="I3" s="133"/>
      <x:c r="J3" s="133"/>
      <x:c r="K3" s="133"/>
      <x:c r="L3" s="133"/>
      <x:c r="M3" s="133"/>
      <x:c r="N3" s="133"/>
      <x:c r="O3" s="133"/>
      <x:c r="P3" s="133"/>
      <x:c r="Q3" s="133"/>
      <x:c r="R3" s="133"/>
      <x:c r="S3" s="133"/>
    </x:row>
    <x:row r="5" ht="36" customHeight="1">
      <x:c r="A5" s="101" t="str">
        <x:v>MetricID</x:v>
      </x:c>
      <x:c r="B5" s="102" t="str">
        <x:v>Area</x:v>
      </x:c>
      <x:c r="C5" s="102" t="str">
        <x:v>MetricName</x:v>
      </x:c>
      <x:c r="D5" s="102" t="str">
        <x:v>MetricType</x:v>
      </x:c>
      <x:c r="E5" s="102" t="str">
        <x:v>ValueType</x:v>
      </x:c>
      <x:c r="F5" s="102" t="str">
        <x:v>Definition</x:v>
      </x:c>
      <x:c r="G5" s="102" t="str">
        <x:v>DailyTarget</x:v>
      </x:c>
      <x:c r="H5" s="102" t="str">
        <x:v>MonthlyTarget</x:v>
      </x:c>
      <x:c r="I5" s="102" t="str">
        <x:v>Source</x:v>
      </x:c>
      <x:c r="J5" s="102" t="str">
        <x:v>ReportingFrequency</x:v>
      </x:c>
      <x:c r="K5" s="102" t="str">
        <x:v>ReportingRuleID</x:v>
      </x:c>
      <x:c r="L5" s="102" t="str">
        <x:v>DateAssignmentRule</x:v>
      </x:c>
      <x:c r="M5" s="102" t="str">
        <x:v>BlankHandling</x:v>
      </x:c>
      <x:c r="N5" s="102" t="str">
        <x:v>EffectiveFrom</x:v>
      </x:c>
      <x:c r="O5" s="102" t="str">
        <x:v>BusinessOwner</x:v>
      </x:c>
      <x:c r="P5" s="102" t="str">
        <x:v>DataOwner</x:v>
      </x:c>
      <x:c r="Q5" s="102" t="str">
        <x:v>ReviewStatus</x:v>
      </x:c>
      <x:c r="R5" s="102" t="str">
        <x:v>ReviewerComment</x:v>
      </x:c>
      <x:c r="S5" s="103" t="str">
        <x:v>Notes</x:v>
      </x:c>
    </x:row>
    <x:row r="6" ht="84" customHeight="1">
      <x:c r="A6" s="139" t="str">
        <x:v>EHS_CHECKLIST</x:v>
      </x:c>
      <x:c r="B6" s="140" t="str">
        <x:v>EHS</x:v>
      </x:c>
      <x:c r="C6" s="140" t="str">
        <x:v>EHS Checklist</x:v>
      </x:c>
      <x:c r="D6" s="140" t="str">
        <x:v>Leading</x:v>
      </x:c>
      <x:c r="E6" s="140" t="str">
        <x:v>Score</x:v>
      </x:c>
      <x:c r="F6" s="140" t="str">
        <x:v>Automatiskt beräknad score från 36 EHS-checklistpunkter.</x:v>
      </x:c>
      <x:c r="G6" s="140" t="str">
        <x:v>≥33 av 36</x:v>
      </x:c>
      <x:c r="H6" s="140" t="str">
        <x:v>N/A</x:v>
      </x:c>
      <x:c r="I6" s="140" t="str">
        <x:v>Power Apps – EHS Checklist</x:v>
      </x:c>
      <x:c r="J6" s="140" t="str">
        <x:v>Måndag–fredag, samma dag</x:v>
      </x:c>
      <x:c r="K6" s="140" t="str">
        <x:v>DAILY_TODAY</x:v>
      </x:c>
      <x:c r="L6" s="140" t="str">
        <x:v>Rapporteringsdatum = dagen checklistan utförs.</x:v>
      </x:c>
      <x:c r="M6" s="140" t="str">
        <x:v>Blank på vardag = Amber (saknad rapportering). Helg = Gray.</x:v>
      </x:c>
      <x:c r="N6" s="140" t="str">
        <x:v>QDIP 2.0 go-live (TBD)</x:v>
      </x:c>
      <x:c r="O6" s="140" t="str"/>
      <x:c r="P6" s="140" t="str"/>
      <x:c r="Q6" s="140" t="str">
        <x:v>Draft</x:v>
      </x:c>
      <x:c r="R6" s="140" t="str"/>
      <x:c r="S6" s="141" t="str">
        <x:v>Maxscore 36. Green 33–36. Red 0–32. Totalscore ska räknas automatiskt och inte matas manuellt.</x:v>
      </x:c>
    </x:row>
    <x:row r="7" ht="84" customHeight="1">
      <x:c r="A7" s="142" t="str">
        <x:v>EHS_INCIDENT</x:v>
      </x:c>
      <x:c r="B7" s="143" t="str">
        <x:v>EHS</x:v>
      </x:c>
      <x:c r="C7" s="143" t="str">
        <x:v>Incident</x:v>
      </x:c>
      <x:c r="D7" s="143" t="str">
        <x:v>Lagging</x:v>
      </x:c>
      <x:c r="E7" s="143" t="str">
        <x:v>Count</x:v>
      </x:c>
      <x:c r="F7" s="143" t="str">
        <x:v>Antal rapporterade EHS-incidenter för rapporteringsdatumet.</x:v>
      </x:c>
      <x:c r="G7" s="143" t="str">
        <x:v>0</x:v>
      </x:c>
      <x:c r="H7" s="143" t="str">
        <x:v>N/A</x:v>
      </x:c>
      <x:c r="I7" s="143" t="str">
        <x:v>Manuell QDIP-registrering / officiell EHS-källa</x:v>
      </x:c>
      <x:c r="J7" s="143" t="str">
        <x:v>Varje lagging-datum</x:v>
      </x:c>
      <x:c r="K7" s="143" t="str">
        <x:v>LAGGING_PREVIOUS_DAY; LAGGING_MONDAY_BACKLOG</x:v>
      </x:c>
      <x:c r="L7" s="143" t="str">
        <x:v>Tis–fre: föregående kalenderdag. Mån: fredag, lördag och söndag.</x:v>
      </x:c>
      <x:c r="M7" s="143" t="str">
        <x:v>Blank när rapport förväntas = Amber.</x:v>
      </x:c>
      <x:c r="N7" s="143" t="str">
        <x:v>QDIP 2.0 go-live (TBD)</x:v>
      </x:c>
      <x:c r="O7" s="143" t="str"/>
      <x:c r="P7" s="143" t="str"/>
      <x:c r="Q7" s="143" t="str">
        <x:v>Draft</x:v>
      </x:c>
      <x:c r="R7" s="143" t="str"/>
      <x:c r="S7" s="144" t="str">
        <x:v>0 = Green. &gt;0 = Red.</x:v>
      </x:c>
    </x:row>
    <x:row r="8" ht="84" customHeight="1">
      <x:c r="A8" s="142" t="str">
        <x:v>EHS_AMPLICON</x:v>
      </x:c>
      <x:c r="B8" s="143" t="str">
        <x:v>EHS</x:v>
      </x:c>
      <x:c r="C8" s="143" t="str">
        <x:v>Amplicon</x:v>
      </x:c>
      <x:c r="D8" s="143" t="str">
        <x:v>Lagging</x:v>
      </x:c>
      <x:c r="E8" s="143" t="str">
        <x:v>Count</x:v>
      </x:c>
      <x:c r="F8" s="143" t="str">
        <x:v>Antal Amplicon-händelser i positivt och negativt laboratorium.</x:v>
      </x:c>
      <x:c r="G8" s="143" t="str">
        <x:v>0 när rapportering utförs</x:v>
      </x:c>
      <x:c r="H8" s="143" t="str">
        <x:v>N/A</x:v>
      </x:c>
      <x:c r="I8" s="143" t="str">
        <x:v>Manuell QDIP-registrering</x:v>
      </x:c>
      <x:c r="J8" s="143" t="str">
        <x:v>Aktivt vald rapportering; ingen fast veckodag</x:v>
      </x:c>
      <x:c r="K8" s="143" t="str">
        <x:v>ACTIVE_OPTIONAL</x:v>
      </x:c>
      <x:c r="L8" s="143" t="str">
        <x:v>Användaren väljer aktivt om och för vilket datum Amplicon ska rapporteras.</x:v>
      </x:c>
      <x:c r="M8" s="143" t="str">
        <x:v>Ej rapporterat = Blank/Gray. Rapporterat 0 = Green. Rapporterat &gt;0 = Red.</x:v>
      </x:c>
      <x:c r="N8" s="143" t="str">
        <x:v>QDIP 2.0 go-live (TBD)</x:v>
      </x:c>
      <x:c r="O8" s="143" t="str"/>
      <x:c r="P8" s="143" t="str"/>
      <x:c r="Q8" s="143" t="str">
        <x:v>Draft</x:v>
      </x:c>
      <x:c r="R8" s="143" t="str"/>
      <x:c r="S8" s="144" t="str">
        <x:v>Blankt får aldrig automatiskt omvandlas till 0.</x:v>
      </x:c>
    </x:row>
    <x:row r="9" ht="84" customHeight="1">
      <x:c r="A9" s="142" t="str">
        <x:v>Q_NRFT</x:v>
      </x:c>
      <x:c r="B9" s="143" t="str">
        <x:v>Quality</x:v>
      </x:c>
      <x:c r="C9" s="143" t="str">
        <x:v>NRFT</x:v>
      </x:c>
      <x:c r="D9" s="143" t="str">
        <x:v>Lagging</x:v>
      </x:c>
      <x:c r="E9" s="143" t="str">
        <x:v>Count and Percentage</x:v>
      </x:c>
      <x:c r="F9" s="143" t="str">
        <x:v>Dokumentationsfel identifierat vid granskning. Varje batch kan ge 0 eller 1 NRFT.</x:v>
      </x:c>
      <x:c r="G9" s="143" t="str">
        <x:v>0</x:v>
      </x:c>
      <x:c r="H9" s="143" t="str">
        <x:v>≥98 % batcher utan NRFT</x:v>
      </x:c>
      <x:c r="I9" s="143" t="str">
        <x:v>Manuell QDIP-registrering + antal granskade batcher</x:v>
      </x:c>
      <x:c r="J9" s="143" t="str">
        <x:v>Varje lagging-datum</x:v>
      </x:c>
      <x:c r="K9" s="143" t="str">
        <x:v>LAGGING_PREVIOUS_DAY; LAGGING_MONDAY_BACKLOG</x:v>
      </x:c>
      <x:c r="L9" s="143" t="str">
        <x:v>Tis–fre: föregående kalenderdag. Mån: fredag, lördag och söndag.</x:v>
      </x:c>
      <x:c r="M9" s="143" t="str">
        <x:v>Blank när rapport förväntas = Amber.</x:v>
      </x:c>
      <x:c r="N9" s="143" t="str">
        <x:v>QDIP 2.0 go-live (TBD)</x:v>
      </x:c>
      <x:c r="O9" s="143" t="str"/>
      <x:c r="P9" s="143" t="str"/>
      <x:c r="Q9" s="143" t="str">
        <x:v>Draft</x:v>
      </x:c>
      <x:c r="R9" s="143" t="str"/>
      <x:c r="S9" s="144" t="str">
        <x:v>Månadsformel: (granskade batcher − NRFT) / granskade batcher. Varje batch bidrar med 0 eller 1.</x:v>
      </x:c>
    </x:row>
    <x:row r="10" ht="84" customHeight="1">
      <x:c r="A10" s="142" t="str">
        <x:v>Q_LFI_CLOSED</x:v>
      </x:c>
      <x:c r="B10" s="143" t="str">
        <x:v>Quality</x:v>
      </x:c>
      <x:c r="C10" s="143" t="str">
        <x:v>Closed LFI</x:v>
      </x:c>
      <x:c r="D10" s="143" t="str">
        <x:v>Lagging</x:v>
      </x:c>
      <x:c r="E10" s="143" t="str">
        <x:v>Count</x:v>
      </x:c>
      <x:c r="F10" s="143" t="str">
        <x:v>Antal Laboratory Failure Investigations baserat på det datum då de stängs.</x:v>
      </x:c>
      <x:c r="G10" s="143" t="str">
        <x:v>0</x:v>
      </x:c>
      <x:c r="H10" s="143" t="str">
        <x:v>≤3 per månad</x:v>
      </x:c>
      <x:c r="I10" s="143" t="str">
        <x:v>Manuell QDIP-registrering / framtida officiell LFI-källa</x:v>
      </x:c>
      <x:c r="J10" s="143" t="str">
        <x:v>Varje lagging-datum</x:v>
      </x:c>
      <x:c r="K10" s="143" t="str">
        <x:v>LAGGING_PREVIOUS_DAY; LAGGING_MONDAY_BACKLOG</x:v>
      </x:c>
      <x:c r="L10" s="143" t="str">
        <x:v>ReportingDate = LFI closure date. Tis–fre: föregående dag. Mån: fre–sön.</x:v>
      </x:c>
      <x:c r="M10" s="143" t="str">
        <x:v>Blank när rapport förväntas = Amber.</x:v>
      </x:c>
      <x:c r="N10" s="143" t="str">
        <x:v>QDIP 2.0 go-live (TBD)</x:v>
      </x:c>
      <x:c r="O10" s="143" t="str"/>
      <x:c r="P10" s="143" t="str"/>
      <x:c r="Q10" s="143" t="str">
        <x:v>Draft</x:v>
      </x:c>
      <x:c r="R10" s="143" t="str"/>
      <x:c r="S10" s="144" t="str">
        <x:v>LFI räknas på closure date, inte på inmatningsdatum.</x:v>
      </x:c>
    </x:row>
    <x:row r="11" ht="84" customHeight="1">
      <x:c r="A11" s="142" t="str">
        <x:v>D_WIP_10H</x:v>
      </x:c>
      <x:c r="B11" s="143" t="str">
        <x:v>Delivery</x:v>
      </x:c>
      <x:c r="C11" s="143" t="str">
        <x:v>Lots WIP ≥10h</x:v>
      </x:c>
      <x:c r="D11" s="143" t="str">
        <x:v>Leading</x:v>
      </x:c>
      <x:c r="E11" s="143" t="str">
        <x:v>Count</x:v>
      </x:c>
      <x:c r="F11" s="143" t="str">
        <x:v>Antal aktiva IPT-lots med lead time ≥10 timmar.</x:v>
      </x:c>
      <x:c r="G11" s="143" t="str">
        <x:v>≤3</x:v>
      </x:c>
      <x:c r="H11" s="143" t="str">
        <x:v>N/A</x:v>
      </x:c>
      <x:c r="I11" s="143" t="str">
        <x:v>Active Production Orders / centralt semantic model</x:v>
      </x:c>
      <x:c r="J11" s="143" t="str">
        <x:v>Måndag–fredag, automatiskt</x:v>
      </x:c>
      <x:c r="K11" s="143" t="str">
        <x:v>AUTOMATIC_DAILY</x:v>
      </x:c>
      <x:c r="L11" s="143" t="str">
        <x:v>Rapporteringsdatum = datum för automatiskt daily snapshot.</x:v>
      </x:c>
      <x:c r="M11" s="143" t="str">
        <x:v>Saknad eller stale automatisk källa = Amber. Helg utan förväntad rapport = Gray.</x:v>
      </x:c>
      <x:c r="N11" s="143" t="str">
        <x:v>QDIP 2.0 go-live (TBD)</x:v>
      </x:c>
      <x:c r="O11" s="143" t="str"/>
      <x:c r="P11" s="143" t="str"/>
      <x:c r="Q11" s="143" t="str">
        <x:v>Draft</x:v>
      </x:c>
      <x:c r="R11" s="143" t="str"/>
      <x:c r="S11" s="144" t="str">
        <x:v>0–3 = Green. &gt;3 = Red. 10-timmarsvillkoret ska vara explicit i den tekniska logiken.</x:v>
      </x:c>
    </x:row>
    <x:row r="12" ht="84" customHeight="1">
      <x:c r="A12" s="145" t="str">
        <x:v>D_OVER_20H</x:v>
      </x:c>
      <x:c r="B12" s="146" t="str">
        <x:v>Delivery</x:v>
      </x:c>
      <x:c r="C12" s="146" t="str">
        <x:v>Lots ≥20h</x:v>
      </x:c>
      <x:c r="D12" s="146" t="str">
        <x:v>Lagging</x:v>
      </x:c>
      <x:c r="E12" s="146" t="str">
        <x:v>Count and Percentage</x:v>
      </x:c>
      <x:c r="F12" s="146" t="str">
        <x:v>Antal färdigbehandlade lots med IPT lead time ≥20 timmar.</x:v>
      </x:c>
      <x:c r="G12" s="146" t="str">
        <x:v>0</x:v>
      </x:c>
      <x:c r="H12" s="146" t="str">
        <x:v>Supporting metric: ≥80 % lots within 20h</x:v>
      </x:c>
      <x:c r="I12" s="146" t="str">
        <x:v>Historical Production Orders + Power Apps review</x:v>
      </x:c>
      <x:c r="J12" s="146" t="str">
        <x:v>Varje lagging-datum</x:v>
      </x:c>
      <x:c r="K12" s="146" t="str">
        <x:v>LAGGING_PREVIOUS_DAY; LAGGING_MONDAY_BACKLOG</x:v>
      </x:c>
      <x:c r="L12" s="146" t="str">
        <x:v>Tis–fre: föregående kalenderdag. Mån: fredag, lördag och söndag.</x:v>
      </x:c>
      <x:c r="M12" s="146" t="str">
        <x:v>Automatiskt värde saknas = Amber. 0 lots över 20h = Green.</x:v>
      </x:c>
      <x:c r="N12" s="146" t="str">
        <x:v>QDIP 2.0 go-live (TBD)</x:v>
      </x:c>
      <x:c r="O12" s="146" t="str"/>
      <x:c r="P12" s="146" t="str"/>
      <x:c r="Q12" s="146" t="str">
        <x:v>Draft</x:v>
      </x:c>
      <x:c r="R12" s="146" t="str"/>
      <x:c r="S12" s="147" t="str">
        <x:v>Automatisk källa ger antal/lot/timestamps. Power Apps ger review, cause, notes och action decision.</x:v>
      </x:c>
    </x:row>
  </x:sheetData>
  <x:mergeCells>
    <x:mergeCell ref="A1:S2"/>
    <x:mergeCell ref="A3:S3"/>
  </x:mergeCells>
  <x:conditionalFormatting sqref="Q6:Q100">
    <x:cfRule type="expression" dxfId="6" priority="1">
      <x:formula>Q6="Approved"</x:formula>
    </x:cfRule>
    <x:cfRule type="expression" dxfId="7" priority="2">
      <x:formula>Q6="Changes required"</x:formula>
    </x:cfRule>
    <x:cfRule type="expression" dxfId="8" priority="3">
      <x:formula>Q6="Draft"</x:formula>
    </x:cfRule>
  </x:conditionalFormatting>
  <x:dataValidations count="4">
    <x:dataValidation type="list" sqref="B6:B100">
      <x:formula1>"EHS,Quality,Delivery"</x:formula1>
    </x:dataValidation>
    <x:dataValidation type="list" sqref="D6:D100">
      <x:formula1>"Leading,Lagging"</x:formula1>
    </x:dataValidation>
    <x:dataValidation type="list" sqref="E6:E100">
      <x:formula1>"Count,Score,Percentage,Count and Percentage"</x:formula1>
    </x:dataValidation>
    <x:dataValidation type="list" sqref="Q6:Q100">
      <x:formula1>"Draft,Approved,Changes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d9fa22b495474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38" hidden="0" customWidth="1"/>
    <x:col min="5" max="5" width="38" hidden="0" customWidth="1"/>
    <x:col min="6" max="6" width="34" hidden="0" customWidth="1"/>
    <x:col min="7" max="7" width="18" hidden="0" customWidth="1"/>
    <x:col min="8" max="8" width="38" hidden="0" customWidth="1"/>
  </x:cols>
  <x:sheetData>
    <x:row r="1">
      <x:c r="A1" s="5" t="str">
        <x:v>QDIP Status Rules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58" t="str">
        <x:v>These status codes must be interpreted identically in Power Apps and Power BI.</x:v>
      </x:c>
      <x:c r="B3" s="158"/>
      <x:c r="C3" s="158"/>
      <x:c r="D3" s="158"/>
      <x:c r="E3" s="158"/>
      <x:c r="F3" s="158"/>
      <x:c r="G3" s="158"/>
      <x:c r="H3" s="158"/>
    </x:row>
    <x:row r="5">
      <x:c r="A5" s="101" t="str">
        <x:v>StatusCode</x:v>
      </x:c>
      <x:c r="B5" s="102" t="str">
        <x:v>StatusName</x:v>
      </x:c>
      <x:c r="C5" s="102" t="str">
        <x:v>DisplayColor</x:v>
      </x:c>
      <x:c r="D5" s="102" t="str">
        <x:v>Definition</x:v>
      </x:c>
      <x:c r="E5" s="102" t="str">
        <x:v>AppliesWhen</x:v>
      </x:c>
      <x:c r="F5" s="102" t="str">
        <x:v>Example</x:v>
      </x:c>
      <x:c r="G5" s="102" t="str">
        <x:v>ReviewStatus</x:v>
      </x:c>
      <x:c r="H5" s="103" t="str">
        <x:v>ReviewerComment</x:v>
      </x:c>
    </x:row>
    <x:row r="6" ht="58" customHeight="1">
      <x:c r="A6" s="165" t="str">
        <x:v>GREEN</x:v>
      </x:c>
      <x:c r="B6" s="166" t="str">
        <x:v>Green</x:v>
      </x:c>
      <x:c r="C6" s="166" t="str">
        <x:v>Green</x:v>
      </x:c>
      <x:c r="D6" s="140" t="str">
        <x:v>Resultat finns och målet är uppnått.</x:v>
      </x:c>
      <x:c r="E6" s="140" t="str">
        <x:v>Result is valid and target is met.</x:v>
      </x:c>
      <x:c r="F6" s="140" t="str">
        <x:v>EHS score 35; NRFT 0; WIP 2.</x:v>
      </x:c>
      <x:c r="G6" s="140" t="str">
        <x:v>Draft</x:v>
      </x:c>
      <x:c r="H6" s="141" t="str"/>
    </x:row>
    <x:row r="7" ht="58" customHeight="1">
      <x:c r="A7" s="173" t="str">
        <x:v>RED</x:v>
      </x:c>
      <x:c r="B7" s="174" t="str">
        <x:v>Red</x:v>
      </x:c>
      <x:c r="C7" s="174" t="str">
        <x:v>Red</x:v>
      </x:c>
      <x:c r="D7" s="143" t="str">
        <x:v>Resultat finns och målet är inte uppnått.</x:v>
      </x:c>
      <x:c r="E7" s="143" t="str">
        <x:v>Result is valid and target is missed.</x:v>
      </x:c>
      <x:c r="F7" s="143" t="str">
        <x:v>EHS score 30; LFI 1; lots ≥20h = 2.</x:v>
      </x:c>
      <x:c r="G7" s="143" t="str">
        <x:v>Draft</x:v>
      </x:c>
      <x:c r="H7" s="144" t="str"/>
    </x:row>
    <x:row r="8" ht="58" customHeight="1">
      <x:c r="A8" s="181" t="str">
        <x:v>AMBER</x:v>
      </x:c>
      <x:c r="B8" s="182" t="str">
        <x:v>Amber</x:v>
      </x:c>
      <x:c r="C8" s="182" t="str">
        <x:v>Amber</x:v>
      </x:c>
      <x:c r="D8" s="143" t="str">
        <x:v>Resultat förväntas men saknas, är försenat eller inte reviewat.</x:v>
      </x:c>
      <x:c r="E8" s="143" t="str">
        <x:v>Expected data is incomplete, stale or awaiting review.</x:v>
      </x:c>
      <x:c r="F8" s="143" t="str">
        <x:v>Incidentfält saknas; delivery review not completed.</x:v>
      </x:c>
      <x:c r="G8" s="143" t="str">
        <x:v>Draft</x:v>
      </x:c>
      <x:c r="H8" s="144" t="str"/>
    </x:row>
    <x:row r="9" ht="58" customHeight="1">
      <x:c r="A9" s="189" t="str">
        <x:v>GRAY</x:v>
      </x:c>
      <x:c r="B9" s="190" t="str">
        <x:v>Gray</x:v>
      </x:c>
      <x:c r="C9" s="190" t="str">
        <x:v>Gray</x:v>
      </x:c>
      <x:c r="D9" s="143" t="str">
        <x:v>Resultat förväntas inte för datumet eller metricen valdes inte för rapportering.</x:v>
      </x:c>
      <x:c r="E9" s="143" t="str">
        <x:v>Not applicable / not expected.</x:v>
      </x:c>
      <x:c r="F9" s="143" t="str">
        <x:v>EHS på helg; Amplicon not selected.</x:v>
      </x:c>
      <x:c r="G9" s="143" t="str">
        <x:v>Draft</x:v>
      </x:c>
      <x:c r="H9" s="144" t="str"/>
    </x:row>
    <x:row r="10" ht="58" customHeight="1">
      <x:c r="A10" s="197" t="str">
        <x:v>BLUE</x:v>
      </x:c>
      <x:c r="B10" s="198" t="str">
        <x:v>Blue</x:v>
      </x:c>
      <x:c r="C10" s="198" t="str">
        <x:v>Blue</x:v>
      </x:c>
      <x:c r="D10" s="146" t="str">
        <x:v>Informativt värde utan direkt röd/grön bedömning.</x:v>
      </x:c>
      <x:c r="E10" s="146" t="str">
        <x:v>Context or supporting information.</x:v>
      </x:c>
      <x:c r="F10" s="146" t="str">
        <x:v>MTD supporting metric shown without daily status.</x:v>
      </x:c>
      <x:c r="G10" s="146" t="str">
        <x:v>Draft</x:v>
      </x:c>
      <x:c r="H10" s="147" t="str"/>
    </x:row>
  </x:sheetData>
  <x:mergeCells>
    <x:mergeCell ref="A1:H2"/>
    <x:mergeCell ref="A3:H3"/>
  </x:mergeCells>
  <x:conditionalFormatting sqref="G6:G100">
    <x:cfRule type="expression" dxfId="9" priority="1">
      <x:formula>G6="Approved"</x:formula>
    </x:cfRule>
    <x:cfRule type="expression" dxfId="10" priority="2">
      <x:formula>G6="Changes required"</x:formula>
    </x:cfRule>
    <x:cfRule type="expression" dxfId="11" priority="3">
      <x:formula>G6="Draft"</x:formula>
    </x:cfRule>
  </x:conditionalFormatting>
  <x:dataValidations count="1">
    <x:dataValidation type="list" sqref="G6:G100">
      <x:formula1>"Draft,Approved,Changes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c35ea1165a4a4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38" hidden="0" customWidth="1"/>
    <x:col min="4" max="4" width="34" hidden="0" customWidth="1"/>
    <x:col min="5" max="5" width="44" hidden="0" customWidth="1"/>
    <x:col min="6" max="6" width="46" hidden="0" customWidth="1"/>
    <x:col min="7" max="7" width="18" hidden="0" customWidth="1"/>
    <x:col min="8" max="8" width="38" hidden="0" customWidth="1"/>
  </x:cols>
  <x:sheetData>
    <x:row r="1">
      <x:c r="A1" s="5" t="str">
        <x:v>QDIP Reporting Rules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58" t="str">
        <x:v>Reporting rules define when a metric is expected and how Power Apps should create the work queue.</x:v>
      </x:c>
      <x:c r="B3" s="158"/>
      <x:c r="C3" s="158"/>
      <x:c r="D3" s="158"/>
      <x:c r="E3" s="158"/>
      <x:c r="F3" s="158"/>
      <x:c r="G3" s="158"/>
      <x:c r="H3" s="158"/>
    </x:row>
    <x:row r="5">
      <x:c r="A5" s="101" t="str">
        <x:v>RuleID</x:v>
      </x:c>
      <x:c r="B5" s="102" t="str">
        <x:v>RuleName</x:v>
      </x:c>
      <x:c r="C5" s="102" t="str">
        <x:v>Definition</x:v>
      </x:c>
      <x:c r="D5" s="102" t="str">
        <x:v>Trigger / Day Logic</x:v>
      </x:c>
      <x:c r="E5" s="102" t="str">
        <x:v>AppliesToMetricIDs</x:v>
      </x:c>
      <x:c r="F5" s="102" t="str">
        <x:v>SystemBehavior</x:v>
      </x:c>
      <x:c r="G5" s="102" t="str">
        <x:v>ReviewStatus</x:v>
      </x:c>
      <x:c r="H5" s="103" t="str">
        <x:v>ReviewerComment</x:v>
      </x:c>
    </x:row>
    <x:row r="6" ht="68" customHeight="1">
      <x:c r="A6" s="139" t="str">
        <x:v>DAILY_TODAY</x:v>
      </x:c>
      <x:c r="B6" s="140" t="str">
        <x:v>Daily today</x:v>
      </x:c>
      <x:c r="C6" s="140" t="str">
        <x:v>Rapporteras samma dag.</x:v>
      </x:c>
      <x:c r="D6" s="140" t="str">
        <x:v>Måndag–fredag.</x:v>
      </x:c>
      <x:c r="E6" s="140" t="str">
        <x:v>EHS_CHECKLIST</x:v>
      </x:c>
      <x:c r="F6" s="140" t="str">
        <x:v>Create one task for current date. Weekend dates are not expected.</x:v>
      </x:c>
      <x:c r="G6" s="140" t="str">
        <x:v>Draft</x:v>
      </x:c>
      <x:c r="H6" s="141" t="str"/>
    </x:row>
    <x:row r="7" ht="68" customHeight="1">
      <x:c r="A7" s="142" t="str">
        <x:v>LAGGING_PREVIOUS_DAY</x:v>
      </x:c>
      <x:c r="B7" s="143" t="str">
        <x:v>Previous-day lagging</x:v>
      </x:c>
      <x:c r="C7" s="143" t="str">
        <x:v>Tisdag–fredag rapporteras föregående kalenderdag.</x:v>
      </x:c>
      <x:c r="D7" s="143" t="str">
        <x:v>Run on Tuesday, Wednesday, Thursday and Friday.</x:v>
      </x:c>
      <x:c r="E7" s="143" t="str">
        <x:v>EHS_INCIDENT; Q_NRFT; Q_LFI_CLOSED; D_OVER_20H</x:v>
      </x:c>
      <x:c r="F7" s="143" t="str">
        <x:v>Create one task for yesterday.</x:v>
      </x:c>
      <x:c r="G7" s="143" t="str">
        <x:v>Draft</x:v>
      </x:c>
      <x:c r="H7" s="144" t="str"/>
    </x:row>
    <x:row r="8" ht="68" customHeight="1">
      <x:c r="A8" s="142" t="str">
        <x:v>LAGGING_MONDAY_BACKLOG</x:v>
      </x:c>
      <x:c r="B8" s="143" t="str">
        <x:v>Monday backlog</x:v>
      </x:c>
      <x:c r="C8" s="143" t="str">
        <x:v>På måndag rapporteras fredag, lördag och söndag.</x:v>
      </x:c>
      <x:c r="D8" s="143" t="str">
        <x:v>Run on Monday.</x:v>
      </x:c>
      <x:c r="E8" s="143" t="str">
        <x:v>EHS_INCIDENT; Q_NRFT; Q_LFI_CLOSED; D_OVER_20H</x:v>
      </x:c>
      <x:c r="F8" s="143" t="str">
        <x:v>Create three dated tasks: Friday, Saturday and Sunday.</x:v>
      </x:c>
      <x:c r="G8" s="143" t="str">
        <x:v>Draft</x:v>
      </x:c>
      <x:c r="H8" s="144" t="str"/>
    </x:row>
    <x:row r="9" ht="68" customHeight="1">
      <x:c r="A9" s="142" t="str">
        <x:v>ACTIVE_OPTIONAL</x:v>
      </x:c>
      <x:c r="B9" s="143" t="str">
        <x:v>Active optional reporting</x:v>
      </x:c>
      <x:c r="C9" s="143" t="str">
        <x:v>Användaren väljer aktivt om metricen ska rapporteras.</x:v>
      </x:c>
      <x:c r="D9" s="143" t="str">
        <x:v>No fixed weekday.</x:v>
      </x:c>
      <x:c r="E9" s="143" t="str">
        <x:v>EHS_AMPLICON</x:v>
      </x:c>
      <x:c r="F9" s="143" t="str">
        <x:v>Do not require a value until user selects Report Amplicon = Yes. No = blank/Gray.</x:v>
      </x:c>
      <x:c r="G9" s="143" t="str">
        <x:v>Draft</x:v>
      </x:c>
      <x:c r="H9" s="144" t="str"/>
    </x:row>
    <x:row r="10" ht="68" customHeight="1">
      <x:c r="A10" s="145" t="str">
        <x:v>AUTOMATIC_DAILY</x:v>
      </x:c>
      <x:c r="B10" s="146" t="str">
        <x:v>Automatic daily</x:v>
      </x:c>
      <x:c r="C10" s="146" t="str">
        <x:v>Värdet hämtas automatiskt från officiell datakälla.</x:v>
      </x:c>
      <x:c r="D10" s="146" t="str">
        <x:v>Måndag–fredag according to source refresh.</x:v>
      </x:c>
      <x:c r="E10" s="146" t="str">
        <x:v>D_WIP_10H</x:v>
      </x:c>
      <x:c r="F10" s="146" t="str">
        <x:v>Show read-only value and source timestamp. Missing/stale source = Amber.</x:v>
      </x:c>
      <x:c r="G10" s="146" t="str">
        <x:v>Draft</x:v>
      </x:c>
      <x:c r="H10" s="147" t="str"/>
    </x:row>
  </x:sheetData>
  <x:mergeCells>
    <x:mergeCell ref="A1:H2"/>
    <x:mergeCell ref="A3:H3"/>
  </x:mergeCells>
  <x:conditionalFormatting sqref="G6:G100">
    <x:cfRule type="expression" dxfId="12" priority="1">
      <x:formula>G6="Approved"</x:formula>
    </x:cfRule>
    <x:cfRule type="expression" dxfId="13" priority="2">
      <x:formula>G6="Changes required"</x:formula>
    </x:cfRule>
    <x:cfRule type="expression" dxfId="14" priority="3">
      <x:formula>G6="Draft"</x:formula>
    </x:cfRule>
  </x:conditionalFormatting>
  <x:dataValidations count="1">
    <x:dataValidation type="list" sqref="G6:G100">
      <x:formula1>"Draft,Approved,Changes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b67fa38bb34e8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24" hidden="0" customWidth="1"/>
    <x:col min="5" max="5" width="20" hidden="0" customWidth="1"/>
    <x:col min="6" max="6" width="54" hidden="0" customWidth="1"/>
    <x:col min="7" max="7" width="24" hidden="0" customWidth="1"/>
    <x:col min="8" max="8" width="16" hidden="0" customWidth="1"/>
  </x:cols>
  <x:sheetData>
    <x:row r="1">
      <x:c r="A1" s="5" t="str">
        <x:v>QDIP KPI Contract – Change Log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58" t="str">
        <x:v>Record every approved change to KPI definitions, thresholds, reporting cadence or source ownership.</x:v>
      </x:c>
      <x:c r="B3" s="158"/>
      <x:c r="C3" s="158"/>
      <x:c r="D3" s="158"/>
      <x:c r="E3" s="158"/>
      <x:c r="F3" s="158"/>
      <x:c r="G3" s="158"/>
      <x:c r="H3" s="158"/>
    </x:row>
    <x:row r="5">
      <x:c r="A5" s="101" t="str">
        <x:v>Version</x:v>
      </x:c>
      <x:c r="B5" s="102" t="str">
        <x:v>Date</x:v>
      </x:c>
      <x:c r="C5" s="102" t="str">
        <x:v>ChangedBy</x:v>
      </x:c>
      <x:c r="D5" s="102" t="str">
        <x:v>ApprovedBy</x:v>
      </x:c>
      <x:c r="E5" s="102" t="str">
        <x:v>ChangeType</x:v>
      </x:c>
      <x:c r="F5" s="102" t="str">
        <x:v>Description</x:v>
      </x:c>
      <x:c r="G5" s="102" t="str">
        <x:v>EffectiveFrom</x:v>
      </x:c>
      <x:c r="H5" s="103" t="str">
        <x:v>Status</x:v>
      </x:c>
    </x:row>
    <x:row r="6" ht="34" customHeight="1">
      <x:c r="A6" s="67" t="str">
        <x:v>1.0</x:v>
      </x:c>
      <x:c r="B6" s="201" t="n">
        <x:v>46225</x:v>
      </x:c>
      <x:c r="C6" s="55" t="str">
        <x:v>ChatGPT / QDIP project draft</x:v>
      </x:c>
      <x:c r="D6" s="55" t="str"/>
      <x:c r="E6" s="55" t="str">
        <x:v>Initial contract</x:v>
      </x:c>
      <x:c r="F6" s="55" t="str">
        <x:v>Initial consolidated KPI contract based on full QDIP project review and approved metric clarifications.</x:v>
      </x:c>
      <x:c r="G6" s="55" t="str">
        <x:v>QDIP 2.0 go-live (TBD)</x:v>
      </x:c>
      <x:c r="H6" s="37" t="str">
        <x:v>Draft</x:v>
      </x:c>
    </x:row>
    <x:row r="7" ht="34" customHeight="1">
      <x:c r="A7" s="137"/>
      <x:c r="B7" s="61"/>
      <x:c r="C7" s="56"/>
      <x:c r="D7" s="56"/>
      <x:c r="E7" s="56"/>
      <x:c r="F7" s="56"/>
      <x:c r="G7" s="56"/>
      <x:c r="H7" s="39"/>
    </x:row>
    <x:row r="8" ht="34" customHeight="1">
      <x:c r="A8" s="137"/>
      <x:c r="B8" s="61"/>
      <x:c r="C8" s="56"/>
      <x:c r="D8" s="56"/>
      <x:c r="E8" s="56"/>
      <x:c r="F8" s="56"/>
      <x:c r="G8" s="56"/>
      <x:c r="H8" s="39"/>
    </x:row>
    <x:row r="9" ht="34" customHeight="1">
      <x:c r="A9" s="137"/>
      <x:c r="B9" s="61"/>
      <x:c r="C9" s="56"/>
      <x:c r="D9" s="56"/>
      <x:c r="E9" s="56"/>
      <x:c r="F9" s="56"/>
      <x:c r="G9" s="56"/>
      <x:c r="H9" s="39"/>
    </x:row>
    <x:row r="10" ht="34" customHeight="1">
      <x:c r="A10" s="137"/>
      <x:c r="B10" s="61"/>
      <x:c r="C10" s="56"/>
      <x:c r="D10" s="56"/>
      <x:c r="E10" s="56"/>
      <x:c r="F10" s="56"/>
      <x:c r="G10" s="56"/>
      <x:c r="H10" s="39"/>
    </x:row>
    <x:row r="11" ht="34" customHeight="1">
      <x:c r="A11" s="137"/>
      <x:c r="B11" s="61"/>
      <x:c r="C11" s="56"/>
      <x:c r="D11" s="56"/>
      <x:c r="E11" s="56"/>
      <x:c r="F11" s="56"/>
      <x:c r="G11" s="56"/>
      <x:c r="H11" s="39"/>
    </x:row>
    <x:row r="12" ht="34" customHeight="1">
      <x:c r="A12" s="137"/>
      <x:c r="B12" s="61"/>
      <x:c r="C12" s="56"/>
      <x:c r="D12" s="56"/>
      <x:c r="E12" s="56"/>
      <x:c r="F12" s="56"/>
      <x:c r="G12" s="56"/>
      <x:c r="H12" s="39"/>
    </x:row>
    <x:row r="13" ht="34" customHeight="1">
      <x:c r="A13" s="137"/>
      <x:c r="B13" s="61"/>
      <x:c r="C13" s="56"/>
      <x:c r="D13" s="56"/>
      <x:c r="E13" s="56"/>
      <x:c r="F13" s="56"/>
      <x:c r="G13" s="56"/>
      <x:c r="H13" s="39"/>
    </x:row>
    <x:row r="14" ht="34" customHeight="1">
      <x:c r="A14" s="137"/>
      <x:c r="B14" s="61"/>
      <x:c r="C14" s="56"/>
      <x:c r="D14" s="56"/>
      <x:c r="E14" s="56"/>
      <x:c r="F14" s="56"/>
      <x:c r="G14" s="56"/>
      <x:c r="H14" s="39"/>
    </x:row>
    <x:row r="15" ht="34" customHeight="1">
      <x:c r="A15" s="137"/>
      <x:c r="B15" s="61"/>
      <x:c r="C15" s="56"/>
      <x:c r="D15" s="56"/>
      <x:c r="E15" s="56"/>
      <x:c r="F15" s="56"/>
      <x:c r="G15" s="56"/>
      <x:c r="H15" s="39"/>
    </x:row>
    <x:row r="16" ht="34" customHeight="1">
      <x:c r="A16" s="137"/>
      <x:c r="B16" s="61"/>
      <x:c r="C16" s="56"/>
      <x:c r="D16" s="56"/>
      <x:c r="E16" s="56"/>
      <x:c r="F16" s="56"/>
      <x:c r="G16" s="56"/>
      <x:c r="H16" s="39"/>
    </x:row>
    <x:row r="17" ht="34" customHeight="1">
      <x:c r="A17" s="137"/>
      <x:c r="B17" s="61"/>
      <x:c r="C17" s="56"/>
      <x:c r="D17" s="56"/>
      <x:c r="E17" s="56"/>
      <x:c r="F17" s="56"/>
      <x:c r="G17" s="56"/>
      <x:c r="H17" s="39"/>
    </x:row>
    <x:row r="18" ht="34" customHeight="1">
      <x:c r="A18" s="137"/>
      <x:c r="B18" s="61"/>
      <x:c r="C18" s="56"/>
      <x:c r="D18" s="56"/>
      <x:c r="E18" s="56"/>
      <x:c r="F18" s="56"/>
      <x:c r="G18" s="56"/>
      <x:c r="H18" s="39"/>
    </x:row>
    <x:row r="19" ht="34" customHeight="1">
      <x:c r="A19" s="137"/>
      <x:c r="B19" s="61"/>
      <x:c r="C19" s="56"/>
      <x:c r="D19" s="56"/>
      <x:c r="E19" s="56"/>
      <x:c r="F19" s="56"/>
      <x:c r="G19" s="56"/>
      <x:c r="H19" s="39"/>
    </x:row>
    <x:row r="20" ht="34" customHeight="1">
      <x:c r="A20" s="137"/>
      <x:c r="B20" s="61"/>
      <x:c r="C20" s="56"/>
      <x:c r="D20" s="56"/>
      <x:c r="E20" s="56"/>
      <x:c r="F20" s="56"/>
      <x:c r="G20" s="56"/>
      <x:c r="H20" s="39"/>
    </x:row>
    <x:row r="21" ht="34" customHeight="1">
      <x:c r="A21" s="137"/>
      <x:c r="B21" s="61"/>
      <x:c r="C21" s="56"/>
      <x:c r="D21" s="56"/>
      <x:c r="E21" s="56"/>
      <x:c r="F21" s="56"/>
      <x:c r="G21" s="56"/>
      <x:c r="H21" s="39"/>
    </x:row>
    <x:row r="22" ht="34" customHeight="1">
      <x:c r="A22" s="137"/>
      <x:c r="B22" s="61"/>
      <x:c r="C22" s="56"/>
      <x:c r="D22" s="56"/>
      <x:c r="E22" s="56"/>
      <x:c r="F22" s="56"/>
      <x:c r="G22" s="56"/>
      <x:c r="H22" s="39"/>
    </x:row>
    <x:row r="23" ht="34" customHeight="1">
      <x:c r="A23" s="137"/>
      <x:c r="B23" s="61"/>
      <x:c r="C23" s="56"/>
      <x:c r="D23" s="56"/>
      <x:c r="E23" s="56"/>
      <x:c r="F23" s="56"/>
      <x:c r="G23" s="56"/>
      <x:c r="H23" s="39"/>
    </x:row>
    <x:row r="24" ht="34" customHeight="1">
      <x:c r="A24" s="137"/>
      <x:c r="B24" s="61"/>
      <x:c r="C24" s="56"/>
      <x:c r="D24" s="56"/>
      <x:c r="E24" s="56"/>
      <x:c r="F24" s="56"/>
      <x:c r="G24" s="56"/>
      <x:c r="H24" s="39"/>
    </x:row>
    <x:row r="25" ht="34" customHeight="1">
      <x:c r="A25" s="137"/>
      <x:c r="B25" s="61"/>
      <x:c r="C25" s="56"/>
      <x:c r="D25" s="56"/>
      <x:c r="E25" s="56"/>
      <x:c r="F25" s="56"/>
      <x:c r="G25" s="56"/>
      <x:c r="H25" s="39"/>
    </x:row>
    <x:row r="26">
      <x:c r="A26" s="137"/>
      <x:c r="B26" s="61"/>
      <x:c r="C26" s="56"/>
      <x:c r="D26" s="56"/>
      <x:c r="E26" s="56"/>
      <x:c r="F26" s="56"/>
      <x:c r="G26" s="56"/>
      <x:c r="H26" s="39"/>
    </x:row>
    <x:row r="27">
      <x:c r="A27" s="137"/>
      <x:c r="B27" s="61"/>
      <x:c r="C27" s="56"/>
      <x:c r="D27" s="56"/>
      <x:c r="E27" s="56"/>
      <x:c r="F27" s="56"/>
      <x:c r="G27" s="56"/>
      <x:c r="H27" s="39"/>
    </x:row>
    <x:row r="28">
      <x:c r="A28" s="137"/>
      <x:c r="B28" s="61"/>
      <x:c r="C28" s="56"/>
      <x:c r="D28" s="56"/>
      <x:c r="E28" s="56"/>
      <x:c r="F28" s="56"/>
      <x:c r="G28" s="56"/>
      <x:c r="H28" s="39"/>
    </x:row>
    <x:row r="29">
      <x:c r="A29" s="137"/>
      <x:c r="B29" s="61"/>
      <x:c r="C29" s="56"/>
      <x:c r="D29" s="56"/>
      <x:c r="E29" s="56"/>
      <x:c r="F29" s="56"/>
      <x:c r="G29" s="56"/>
      <x:c r="H29" s="39"/>
    </x:row>
    <x:row r="30">
      <x:c r="A30" s="137"/>
      <x:c r="B30" s="61"/>
      <x:c r="C30" s="56"/>
      <x:c r="D30" s="56"/>
      <x:c r="E30" s="56"/>
      <x:c r="F30" s="56"/>
      <x:c r="G30" s="56"/>
      <x:c r="H30" s="39"/>
    </x:row>
    <x:row r="31">
      <x:c r="A31" s="137"/>
      <x:c r="B31" s="61"/>
      <x:c r="C31" s="56"/>
      <x:c r="D31" s="56"/>
      <x:c r="E31" s="56"/>
      <x:c r="F31" s="56"/>
      <x:c r="G31" s="56"/>
      <x:c r="H31" s="39"/>
    </x:row>
    <x:row r="32">
      <x:c r="A32" s="137"/>
      <x:c r="B32" s="61"/>
      <x:c r="C32" s="56"/>
      <x:c r="D32" s="56"/>
      <x:c r="E32" s="56"/>
      <x:c r="F32" s="56"/>
      <x:c r="G32" s="56"/>
      <x:c r="H32" s="39"/>
    </x:row>
    <x:row r="33">
      <x:c r="A33" s="137"/>
      <x:c r="B33" s="61"/>
      <x:c r="C33" s="56"/>
      <x:c r="D33" s="56"/>
      <x:c r="E33" s="56"/>
      <x:c r="F33" s="56"/>
      <x:c r="G33" s="56"/>
      <x:c r="H33" s="39"/>
    </x:row>
    <x:row r="34">
      <x:c r="A34" s="137"/>
      <x:c r="B34" s="61"/>
      <x:c r="C34" s="56"/>
      <x:c r="D34" s="56"/>
      <x:c r="E34" s="56"/>
      <x:c r="F34" s="56"/>
      <x:c r="G34" s="56"/>
      <x:c r="H34" s="39"/>
    </x:row>
    <x:row r="35">
      <x:c r="A35" s="137"/>
      <x:c r="B35" s="61"/>
      <x:c r="C35" s="56"/>
      <x:c r="D35" s="56"/>
      <x:c r="E35" s="56"/>
      <x:c r="F35" s="56"/>
      <x:c r="G35" s="56"/>
      <x:c r="H35" s="39"/>
    </x:row>
    <x:row r="36">
      <x:c r="A36" s="137"/>
      <x:c r="B36" s="61"/>
      <x:c r="C36" s="56"/>
      <x:c r="D36" s="56"/>
      <x:c r="E36" s="56"/>
      <x:c r="F36" s="56"/>
      <x:c r="G36" s="56"/>
      <x:c r="H36" s="39"/>
    </x:row>
    <x:row r="37">
      <x:c r="A37" s="137"/>
      <x:c r="B37" s="61"/>
      <x:c r="C37" s="56"/>
      <x:c r="D37" s="56"/>
      <x:c r="E37" s="56"/>
      <x:c r="F37" s="56"/>
      <x:c r="G37" s="56"/>
      <x:c r="H37" s="39"/>
    </x:row>
    <x:row r="38">
      <x:c r="A38" s="137"/>
      <x:c r="B38" s="61"/>
      <x:c r="C38" s="56"/>
      <x:c r="D38" s="56"/>
      <x:c r="E38" s="56"/>
      <x:c r="F38" s="56"/>
      <x:c r="G38" s="56"/>
      <x:c r="H38" s="39"/>
    </x:row>
    <x:row r="39">
      <x:c r="A39" s="137"/>
      <x:c r="B39" s="61"/>
      <x:c r="C39" s="56"/>
      <x:c r="D39" s="56"/>
      <x:c r="E39" s="56"/>
      <x:c r="F39" s="56"/>
      <x:c r="G39" s="56"/>
      <x:c r="H39" s="39"/>
    </x:row>
    <x:row r="40">
      <x:c r="A40" s="137"/>
      <x:c r="B40" s="61"/>
      <x:c r="C40" s="56"/>
      <x:c r="D40" s="56"/>
      <x:c r="E40" s="56"/>
      <x:c r="F40" s="56"/>
      <x:c r="G40" s="56"/>
      <x:c r="H40" s="39"/>
    </x:row>
    <x:row r="41">
      <x:c r="A41" s="137"/>
      <x:c r="B41" s="61"/>
      <x:c r="C41" s="56"/>
      <x:c r="D41" s="56"/>
      <x:c r="E41" s="56"/>
      <x:c r="F41" s="56"/>
      <x:c r="G41" s="56"/>
      <x:c r="H41" s="39"/>
    </x:row>
    <x:row r="42">
      <x:c r="A42" s="137"/>
      <x:c r="B42" s="61"/>
      <x:c r="C42" s="56"/>
      <x:c r="D42" s="56"/>
      <x:c r="E42" s="56"/>
      <x:c r="F42" s="56"/>
      <x:c r="G42" s="56"/>
      <x:c r="H42" s="39"/>
    </x:row>
    <x:row r="43">
      <x:c r="A43" s="137"/>
      <x:c r="B43" s="61"/>
      <x:c r="C43" s="56"/>
      <x:c r="D43" s="56"/>
      <x:c r="E43" s="56"/>
      <x:c r="F43" s="56"/>
      <x:c r="G43" s="56"/>
      <x:c r="H43" s="39"/>
    </x:row>
    <x:row r="44">
      <x:c r="A44" s="137"/>
      <x:c r="B44" s="61"/>
      <x:c r="C44" s="56"/>
      <x:c r="D44" s="56"/>
      <x:c r="E44" s="56"/>
      <x:c r="F44" s="56"/>
      <x:c r="G44" s="56"/>
      <x:c r="H44" s="39"/>
    </x:row>
    <x:row r="45">
      <x:c r="A45" s="137"/>
      <x:c r="B45" s="61"/>
      <x:c r="C45" s="56"/>
      <x:c r="D45" s="56"/>
      <x:c r="E45" s="56"/>
      <x:c r="F45" s="56"/>
      <x:c r="G45" s="56"/>
      <x:c r="H45" s="39"/>
    </x:row>
    <x:row r="46">
      <x:c r="A46" s="137"/>
      <x:c r="B46" s="61"/>
      <x:c r="C46" s="56"/>
      <x:c r="D46" s="56"/>
      <x:c r="E46" s="56"/>
      <x:c r="F46" s="56"/>
      <x:c r="G46" s="56"/>
      <x:c r="H46" s="39"/>
    </x:row>
    <x:row r="47">
      <x:c r="A47" s="137"/>
      <x:c r="B47" s="61"/>
      <x:c r="C47" s="56"/>
      <x:c r="D47" s="56"/>
      <x:c r="E47" s="56"/>
      <x:c r="F47" s="56"/>
      <x:c r="G47" s="56"/>
      <x:c r="H47" s="39"/>
    </x:row>
    <x:row r="48">
      <x:c r="A48" s="137"/>
      <x:c r="B48" s="61"/>
      <x:c r="C48" s="56"/>
      <x:c r="D48" s="56"/>
      <x:c r="E48" s="56"/>
      <x:c r="F48" s="56"/>
      <x:c r="G48" s="56"/>
      <x:c r="H48" s="39"/>
    </x:row>
    <x:row r="49">
      <x:c r="A49" s="137"/>
      <x:c r="B49" s="61"/>
      <x:c r="C49" s="56"/>
      <x:c r="D49" s="56"/>
      <x:c r="E49" s="56"/>
      <x:c r="F49" s="56"/>
      <x:c r="G49" s="56"/>
      <x:c r="H49" s="39"/>
    </x:row>
    <x:row r="50">
      <x:c r="A50" s="137"/>
      <x:c r="B50" s="61"/>
      <x:c r="C50" s="56"/>
      <x:c r="D50" s="56"/>
      <x:c r="E50" s="56"/>
      <x:c r="F50" s="56"/>
      <x:c r="G50" s="56"/>
      <x:c r="H50" s="39"/>
    </x:row>
    <x:row r="51">
      <x:c r="A51" s="137"/>
      <x:c r="B51" s="61"/>
      <x:c r="C51" s="56"/>
      <x:c r="D51" s="56"/>
      <x:c r="E51" s="56"/>
      <x:c r="F51" s="56"/>
      <x:c r="G51" s="56"/>
      <x:c r="H51" s="39"/>
    </x:row>
    <x:row r="52">
      <x:c r="A52" s="137"/>
      <x:c r="B52" s="61"/>
      <x:c r="C52" s="56"/>
      <x:c r="D52" s="56"/>
      <x:c r="E52" s="56"/>
      <x:c r="F52" s="56"/>
      <x:c r="G52" s="56"/>
      <x:c r="H52" s="39"/>
    </x:row>
    <x:row r="53">
      <x:c r="A53" s="137"/>
      <x:c r="B53" s="61"/>
      <x:c r="C53" s="56"/>
      <x:c r="D53" s="56"/>
      <x:c r="E53" s="56"/>
      <x:c r="F53" s="56"/>
      <x:c r="G53" s="56"/>
      <x:c r="H53" s="39"/>
    </x:row>
    <x:row r="54">
      <x:c r="A54" s="137"/>
      <x:c r="B54" s="61"/>
      <x:c r="C54" s="56"/>
      <x:c r="D54" s="56"/>
      <x:c r="E54" s="56"/>
      <x:c r="F54" s="56"/>
      <x:c r="G54" s="56"/>
      <x:c r="H54" s="39"/>
    </x:row>
    <x:row r="55">
      <x:c r="A55" s="137"/>
      <x:c r="B55" s="61"/>
      <x:c r="C55" s="56"/>
      <x:c r="D55" s="56"/>
      <x:c r="E55" s="56"/>
      <x:c r="F55" s="56"/>
      <x:c r="G55" s="56"/>
      <x:c r="H55" s="39"/>
    </x:row>
    <x:row r="56">
      <x:c r="A56" s="137"/>
      <x:c r="B56" s="61"/>
      <x:c r="C56" s="56"/>
      <x:c r="D56" s="56"/>
      <x:c r="E56" s="56"/>
      <x:c r="F56" s="56"/>
      <x:c r="G56" s="56"/>
      <x:c r="H56" s="39"/>
    </x:row>
    <x:row r="57">
      <x:c r="A57" s="137"/>
      <x:c r="B57" s="61"/>
      <x:c r="C57" s="56"/>
      <x:c r="D57" s="56"/>
      <x:c r="E57" s="56"/>
      <x:c r="F57" s="56"/>
      <x:c r="G57" s="56"/>
      <x:c r="H57" s="39"/>
    </x:row>
    <x:row r="58">
      <x:c r="A58" s="137"/>
      <x:c r="B58" s="61"/>
      <x:c r="C58" s="56"/>
      <x:c r="D58" s="56"/>
      <x:c r="E58" s="56"/>
      <x:c r="F58" s="56"/>
      <x:c r="G58" s="56"/>
      <x:c r="H58" s="39"/>
    </x:row>
    <x:row r="59">
      <x:c r="A59" s="137"/>
      <x:c r="B59" s="61"/>
      <x:c r="C59" s="56"/>
      <x:c r="D59" s="56"/>
      <x:c r="E59" s="56"/>
      <x:c r="F59" s="56"/>
      <x:c r="G59" s="56"/>
      <x:c r="H59" s="39"/>
    </x:row>
    <x:row r="60">
      <x:c r="A60" s="137"/>
      <x:c r="B60" s="61"/>
      <x:c r="C60" s="56"/>
      <x:c r="D60" s="56"/>
      <x:c r="E60" s="56"/>
      <x:c r="F60" s="56"/>
      <x:c r="G60" s="56"/>
      <x:c r="H60" s="39"/>
    </x:row>
    <x:row r="61">
      <x:c r="A61" s="137"/>
      <x:c r="B61" s="61"/>
      <x:c r="C61" s="56"/>
      <x:c r="D61" s="56"/>
      <x:c r="E61" s="56"/>
      <x:c r="F61" s="56"/>
      <x:c r="G61" s="56"/>
      <x:c r="H61" s="39"/>
    </x:row>
    <x:row r="62">
      <x:c r="A62" s="137"/>
      <x:c r="B62" s="61"/>
      <x:c r="C62" s="56"/>
      <x:c r="D62" s="56"/>
      <x:c r="E62" s="56"/>
      <x:c r="F62" s="56"/>
      <x:c r="G62" s="56"/>
      <x:c r="H62" s="39"/>
    </x:row>
    <x:row r="63">
      <x:c r="A63" s="137"/>
      <x:c r="B63" s="61"/>
      <x:c r="C63" s="56"/>
      <x:c r="D63" s="56"/>
      <x:c r="E63" s="56"/>
      <x:c r="F63" s="56"/>
      <x:c r="G63" s="56"/>
      <x:c r="H63" s="39"/>
    </x:row>
    <x:row r="64">
      <x:c r="A64" s="137"/>
      <x:c r="B64" s="61"/>
      <x:c r="C64" s="56"/>
      <x:c r="D64" s="56"/>
      <x:c r="E64" s="56"/>
      <x:c r="F64" s="56"/>
      <x:c r="G64" s="56"/>
      <x:c r="H64" s="39"/>
    </x:row>
    <x:row r="65">
      <x:c r="A65" s="137"/>
      <x:c r="B65" s="61"/>
      <x:c r="C65" s="56"/>
      <x:c r="D65" s="56"/>
      <x:c r="E65" s="56"/>
      <x:c r="F65" s="56"/>
      <x:c r="G65" s="56"/>
      <x:c r="H65" s="39"/>
    </x:row>
    <x:row r="66">
      <x:c r="A66" s="137"/>
      <x:c r="B66" s="61"/>
      <x:c r="C66" s="56"/>
      <x:c r="D66" s="56"/>
      <x:c r="E66" s="56"/>
      <x:c r="F66" s="56"/>
      <x:c r="G66" s="56"/>
      <x:c r="H66" s="39"/>
    </x:row>
    <x:row r="67">
      <x:c r="A67" s="137"/>
      <x:c r="B67" s="61"/>
      <x:c r="C67" s="56"/>
      <x:c r="D67" s="56"/>
      <x:c r="E67" s="56"/>
      <x:c r="F67" s="56"/>
      <x:c r="G67" s="56"/>
      <x:c r="H67" s="39"/>
    </x:row>
    <x:row r="68">
      <x:c r="A68" s="137"/>
      <x:c r="B68" s="61"/>
      <x:c r="C68" s="56"/>
      <x:c r="D68" s="56"/>
      <x:c r="E68" s="56"/>
      <x:c r="F68" s="56"/>
      <x:c r="G68" s="56"/>
      <x:c r="H68" s="39"/>
    </x:row>
    <x:row r="69">
      <x:c r="A69" s="137"/>
      <x:c r="B69" s="61"/>
      <x:c r="C69" s="56"/>
      <x:c r="D69" s="56"/>
      <x:c r="E69" s="56"/>
      <x:c r="F69" s="56"/>
      <x:c r="G69" s="56"/>
      <x:c r="H69" s="39"/>
    </x:row>
    <x:row r="70">
      <x:c r="A70" s="137"/>
      <x:c r="B70" s="61"/>
      <x:c r="C70" s="56"/>
      <x:c r="D70" s="56"/>
      <x:c r="E70" s="56"/>
      <x:c r="F70" s="56"/>
      <x:c r="G70" s="56"/>
      <x:c r="H70" s="39"/>
    </x:row>
    <x:row r="71">
      <x:c r="A71" s="137"/>
      <x:c r="B71" s="61"/>
      <x:c r="C71" s="56"/>
      <x:c r="D71" s="56"/>
      <x:c r="E71" s="56"/>
      <x:c r="F71" s="56"/>
      <x:c r="G71" s="56"/>
      <x:c r="H71" s="39"/>
    </x:row>
    <x:row r="72">
      <x:c r="A72" s="137"/>
      <x:c r="B72" s="61"/>
      <x:c r="C72" s="56"/>
      <x:c r="D72" s="56"/>
      <x:c r="E72" s="56"/>
      <x:c r="F72" s="56"/>
      <x:c r="G72" s="56"/>
      <x:c r="H72" s="39"/>
    </x:row>
    <x:row r="73">
      <x:c r="A73" s="137"/>
      <x:c r="B73" s="61"/>
      <x:c r="C73" s="56"/>
      <x:c r="D73" s="56"/>
      <x:c r="E73" s="56"/>
      <x:c r="F73" s="56"/>
      <x:c r="G73" s="56"/>
      <x:c r="H73" s="39"/>
    </x:row>
    <x:row r="74">
      <x:c r="A74" s="137"/>
      <x:c r="B74" s="61"/>
      <x:c r="C74" s="56"/>
      <x:c r="D74" s="56"/>
      <x:c r="E74" s="56"/>
      <x:c r="F74" s="56"/>
      <x:c r="G74" s="56"/>
      <x:c r="H74" s="39"/>
    </x:row>
    <x:row r="75">
      <x:c r="A75" s="137"/>
      <x:c r="B75" s="61"/>
      <x:c r="C75" s="56"/>
      <x:c r="D75" s="56"/>
      <x:c r="E75" s="56"/>
      <x:c r="F75" s="56"/>
      <x:c r="G75" s="56"/>
      <x:c r="H75" s="39"/>
    </x:row>
    <x:row r="76">
      <x:c r="A76" s="137"/>
      <x:c r="B76" s="61"/>
      <x:c r="C76" s="56"/>
      <x:c r="D76" s="56"/>
      <x:c r="E76" s="56"/>
      <x:c r="F76" s="56"/>
      <x:c r="G76" s="56"/>
      <x:c r="H76" s="39"/>
    </x:row>
    <x:row r="77">
      <x:c r="A77" s="137"/>
      <x:c r="B77" s="61"/>
      <x:c r="C77" s="56"/>
      <x:c r="D77" s="56"/>
      <x:c r="E77" s="56"/>
      <x:c r="F77" s="56"/>
      <x:c r="G77" s="56"/>
      <x:c r="H77" s="39"/>
    </x:row>
    <x:row r="78">
      <x:c r="A78" s="137"/>
      <x:c r="B78" s="61"/>
      <x:c r="C78" s="56"/>
      <x:c r="D78" s="56"/>
      <x:c r="E78" s="56"/>
      <x:c r="F78" s="56"/>
      <x:c r="G78" s="56"/>
      <x:c r="H78" s="39"/>
    </x:row>
    <x:row r="79">
      <x:c r="A79" s="137"/>
      <x:c r="B79" s="61"/>
      <x:c r="C79" s="56"/>
      <x:c r="D79" s="56"/>
      <x:c r="E79" s="56"/>
      <x:c r="F79" s="56"/>
      <x:c r="G79" s="56"/>
      <x:c r="H79" s="39"/>
    </x:row>
    <x:row r="80">
      <x:c r="A80" s="137"/>
      <x:c r="B80" s="61"/>
      <x:c r="C80" s="56"/>
      <x:c r="D80" s="56"/>
      <x:c r="E80" s="56"/>
      <x:c r="F80" s="56"/>
      <x:c r="G80" s="56"/>
      <x:c r="H80" s="39"/>
    </x:row>
    <x:row r="81">
      <x:c r="A81" s="137"/>
      <x:c r="B81" s="61"/>
      <x:c r="C81" s="56"/>
      <x:c r="D81" s="56"/>
      <x:c r="E81" s="56"/>
      <x:c r="F81" s="56"/>
      <x:c r="G81" s="56"/>
      <x:c r="H81" s="39"/>
    </x:row>
    <x:row r="82">
      <x:c r="A82" s="137"/>
      <x:c r="B82" s="61"/>
      <x:c r="C82" s="56"/>
      <x:c r="D82" s="56"/>
      <x:c r="E82" s="56"/>
      <x:c r="F82" s="56"/>
      <x:c r="G82" s="56"/>
      <x:c r="H82" s="39"/>
    </x:row>
    <x:row r="83">
      <x:c r="A83" s="137"/>
      <x:c r="B83" s="61"/>
      <x:c r="C83" s="56"/>
      <x:c r="D83" s="56"/>
      <x:c r="E83" s="56"/>
      <x:c r="F83" s="56"/>
      <x:c r="G83" s="56"/>
      <x:c r="H83" s="39"/>
    </x:row>
    <x:row r="84">
      <x:c r="A84" s="137"/>
      <x:c r="B84" s="61"/>
      <x:c r="C84" s="56"/>
      <x:c r="D84" s="56"/>
      <x:c r="E84" s="56"/>
      <x:c r="F84" s="56"/>
      <x:c r="G84" s="56"/>
      <x:c r="H84" s="39"/>
    </x:row>
    <x:row r="85">
      <x:c r="A85" s="137"/>
      <x:c r="B85" s="61"/>
      <x:c r="C85" s="56"/>
      <x:c r="D85" s="56"/>
      <x:c r="E85" s="56"/>
      <x:c r="F85" s="56"/>
      <x:c r="G85" s="56"/>
      <x:c r="H85" s="39"/>
    </x:row>
    <x:row r="86">
      <x:c r="A86" s="137"/>
      <x:c r="B86" s="61"/>
      <x:c r="C86" s="56"/>
      <x:c r="D86" s="56"/>
      <x:c r="E86" s="56"/>
      <x:c r="F86" s="56"/>
      <x:c r="G86" s="56"/>
      <x:c r="H86" s="39"/>
    </x:row>
    <x:row r="87">
      <x:c r="A87" s="137"/>
      <x:c r="B87" s="61"/>
      <x:c r="C87" s="56"/>
      <x:c r="D87" s="56"/>
      <x:c r="E87" s="56"/>
      <x:c r="F87" s="56"/>
      <x:c r="G87" s="56"/>
      <x:c r="H87" s="39"/>
    </x:row>
    <x:row r="88">
      <x:c r="A88" s="137"/>
      <x:c r="B88" s="61"/>
      <x:c r="C88" s="56"/>
      <x:c r="D88" s="56"/>
      <x:c r="E88" s="56"/>
      <x:c r="F88" s="56"/>
      <x:c r="G88" s="56"/>
      <x:c r="H88" s="39"/>
    </x:row>
    <x:row r="89">
      <x:c r="A89" s="137"/>
      <x:c r="B89" s="61"/>
      <x:c r="C89" s="56"/>
      <x:c r="D89" s="56"/>
      <x:c r="E89" s="56"/>
      <x:c r="F89" s="56"/>
      <x:c r="G89" s="56"/>
      <x:c r="H89" s="39"/>
    </x:row>
    <x:row r="90">
      <x:c r="A90" s="137"/>
      <x:c r="B90" s="61"/>
      <x:c r="C90" s="56"/>
      <x:c r="D90" s="56"/>
      <x:c r="E90" s="56"/>
      <x:c r="F90" s="56"/>
      <x:c r="G90" s="56"/>
      <x:c r="H90" s="39"/>
    </x:row>
    <x:row r="91">
      <x:c r="A91" s="137"/>
      <x:c r="B91" s="61"/>
      <x:c r="C91" s="56"/>
      <x:c r="D91" s="56"/>
      <x:c r="E91" s="56"/>
      <x:c r="F91" s="56"/>
      <x:c r="G91" s="56"/>
      <x:c r="H91" s="39"/>
    </x:row>
    <x:row r="92">
      <x:c r="A92" s="137"/>
      <x:c r="B92" s="61"/>
      <x:c r="C92" s="56"/>
      <x:c r="D92" s="56"/>
      <x:c r="E92" s="56"/>
      <x:c r="F92" s="56"/>
      <x:c r="G92" s="56"/>
      <x:c r="H92" s="39"/>
    </x:row>
    <x:row r="93">
      <x:c r="A93" s="137"/>
      <x:c r="B93" s="61"/>
      <x:c r="C93" s="56"/>
      <x:c r="D93" s="56"/>
      <x:c r="E93" s="56"/>
      <x:c r="F93" s="56"/>
      <x:c r="G93" s="56"/>
      <x:c r="H93" s="39"/>
    </x:row>
    <x:row r="94">
      <x:c r="A94" s="137"/>
      <x:c r="B94" s="61"/>
      <x:c r="C94" s="56"/>
      <x:c r="D94" s="56"/>
      <x:c r="E94" s="56"/>
      <x:c r="F94" s="56"/>
      <x:c r="G94" s="56"/>
      <x:c r="H94" s="39"/>
    </x:row>
    <x:row r="95">
      <x:c r="A95" s="137"/>
      <x:c r="B95" s="61"/>
      <x:c r="C95" s="56"/>
      <x:c r="D95" s="56"/>
      <x:c r="E95" s="56"/>
      <x:c r="F95" s="56"/>
      <x:c r="G95" s="56"/>
      <x:c r="H95" s="39"/>
    </x:row>
    <x:row r="96">
      <x:c r="A96" s="137"/>
      <x:c r="B96" s="61"/>
      <x:c r="C96" s="56"/>
      <x:c r="D96" s="56"/>
      <x:c r="E96" s="56"/>
      <x:c r="F96" s="56"/>
      <x:c r="G96" s="56"/>
      <x:c r="H96" s="39"/>
    </x:row>
    <x:row r="97">
      <x:c r="A97" s="137"/>
      <x:c r="B97" s="61"/>
      <x:c r="C97" s="56"/>
      <x:c r="D97" s="56"/>
      <x:c r="E97" s="56"/>
      <x:c r="F97" s="56"/>
      <x:c r="G97" s="56"/>
      <x:c r="H97" s="39"/>
    </x:row>
    <x:row r="98">
      <x:c r="A98" s="137"/>
      <x:c r="B98" s="61"/>
      <x:c r="C98" s="56"/>
      <x:c r="D98" s="56"/>
      <x:c r="E98" s="56"/>
      <x:c r="F98" s="56"/>
      <x:c r="G98" s="56"/>
      <x:c r="H98" s="39"/>
    </x:row>
    <x:row r="99">
      <x:c r="A99" s="137"/>
      <x:c r="B99" s="61"/>
      <x:c r="C99" s="56"/>
      <x:c r="D99" s="56"/>
      <x:c r="E99" s="56"/>
      <x:c r="F99" s="56"/>
      <x:c r="G99" s="56"/>
      <x:c r="H99" s="39"/>
    </x:row>
    <x:row r="100">
      <x:c r="A100" s="68"/>
      <x:c r="B100" s="202"/>
      <x:c r="C100" s="57"/>
      <x:c r="D100" s="57"/>
      <x:c r="E100" s="57"/>
      <x:c r="F100" s="57"/>
      <x:c r="G100" s="57"/>
      <x:c r="H100" s="41"/>
    </x:row>
  </x:sheetData>
  <x:mergeCells>
    <x:mergeCell ref="A1:H2"/>
    <x:mergeCell ref="A3:H3"/>
  </x:mergeCells>
  <x:conditionalFormatting sqref="H6:H100">
    <x:cfRule type="expression" dxfId="15" priority="1">
      <x:formula>H6="Approved"</x:formula>
    </x:cfRule>
    <x:cfRule type="expression" dxfId="16" priority="2">
      <x:formula>H6="Superseded"</x:formula>
    </x:cfRule>
    <x:cfRule type="expression" dxfId="17" priority="3">
      <x:formula>H6="Draft"</x:formula>
    </x:cfRule>
  </x:conditionalFormatting>
  <x:dataValidations count="1">
    <x:dataValidation type="list" sqref="H6:H100">
      <x:formula1>"Draft,Approved,Superseded"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2d493d0dfb4a61"/>
  </x:tableParts>
</x:worksheet>
</file>